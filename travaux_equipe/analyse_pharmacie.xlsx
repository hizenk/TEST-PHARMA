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sncf-my.sharepoint.com/personal/0502277d_commun_ad_sncf_fr/Documents/Documents/Epitech/Rush 2/"/>
    </mc:Choice>
  </mc:AlternateContent>
  <xr:revisionPtr revIDLastSave="17" documentId="11_17723B7128447978EAB559CF789ECDDAD33C2669" xr6:coauthVersionLast="47" xr6:coauthVersionMax="47" xr10:uidLastSave="{7874A774-47D8-4E2D-BA10-B7DD3D99E7E1}"/>
  <bookViews>
    <workbookView xWindow="-120" yWindow="-120" windowWidth="29040" windowHeight="15720" activeTab="1" xr2:uid="{00000000-000D-0000-FFFF-FFFF00000000}"/>
  </bookViews>
  <sheets>
    <sheet name="Synthese" sheetId="1" r:id="rId1"/>
    <sheet name="Outil" sheetId="2" r:id="rId2"/>
    <sheet name="Stats" sheetId="3" r:id="rId3"/>
    <sheet name="Prevision" sheetId="4" r:id="rId4"/>
    <sheet name="Etat_donnees" sheetId="5" r:id="rId5"/>
    <sheet name="Dictionnaire" sheetId="6" r:id="rId6"/>
    <sheet state="hidden" name="Mensuel" sheetId="7" r:id="rId7"/>
    <sheet state="hidden" name="Backtest" sheetId="8" r:id="rId8"/>
    <sheet state="hidden" name="Donnee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80" i="2" l="1"/>
  <c r="AB79" i="2"/>
  <c r="AB78" i="2"/>
  <c r="AB77" i="2"/>
  <c r="AB76" i="2"/>
  <c r="AB75" i="2"/>
  <c r="AB74" i="2"/>
  <c r="AB73" i="2"/>
  <c r="AB72" i="2"/>
  <c r="AB71" i="2"/>
  <c r="AB70" i="2"/>
  <c r="AB69" i="2"/>
  <c r="AB68" i="2"/>
  <c r="AB67" i="2"/>
  <c r="AB66" i="2"/>
  <c r="AB65" i="2"/>
  <c r="AB64" i="2"/>
  <c r="AB63" i="2"/>
  <c r="AB62" i="2"/>
  <c r="AB61" i="2"/>
  <c r="AB60" i="2"/>
  <c r="AB59" i="2"/>
  <c r="AB58" i="2"/>
  <c r="AB57" i="2"/>
  <c r="AB56" i="2"/>
  <c r="AB55" i="2"/>
  <c r="AB54" i="2"/>
  <c r="AB53" i="2"/>
  <c r="AB52" i="2"/>
  <c r="AB51" i="2"/>
  <c r="AB50" i="2"/>
  <c r="AB49" i="2"/>
  <c r="AB48" i="2"/>
  <c r="AB47" i="2"/>
  <c r="AB46" i="2"/>
  <c r="AB45" i="2"/>
  <c r="AB44" i="2"/>
  <c r="AB43" i="2"/>
  <c r="AB42" i="2"/>
  <c r="AB41" i="2"/>
  <c r="B41" i="2" a="1"/>
  <c r="B41" i="2" s="1"/>
  <c r="AB40" i="2"/>
  <c r="AB39" i="2"/>
  <c r="AB38" i="2"/>
  <c r="AB37" i="2"/>
  <c r="AB36" i="2"/>
  <c r="AB35" i="2"/>
  <c r="AB34" i="2"/>
  <c r="AB33" i="2"/>
  <c r="AB32" i="2"/>
  <c r="AB31" i="2"/>
  <c r="AB30" i="2"/>
  <c r="AB29" i="2"/>
  <c r="AB28" i="2"/>
  <c r="AB27" i="2"/>
  <c r="AB26" i="2"/>
  <c r="AB25" i="2"/>
  <c r="AB24" i="2"/>
  <c r="AB23" i="2"/>
  <c r="AB22" i="2"/>
  <c r="AB21" i="2"/>
  <c r="AB20" i="2"/>
  <c r="AB19" i="2"/>
  <c r="AB18" i="2"/>
  <c r="H18" i="2"/>
  <c r="E18" i="2"/>
  <c r="AB17" i="2"/>
  <c r="H17" i="2"/>
  <c r="E17" i="2"/>
  <c r="AB16" i="2"/>
  <c r="H16" i="2"/>
  <c r="E16" i="2"/>
  <c r="AB15" i="2"/>
  <c r="H15" i="2"/>
  <c r="E15" i="2"/>
  <c r="AB14" i="2"/>
  <c r="H14" i="2"/>
  <c r="E14" i="2"/>
  <c r="AB13" i="2"/>
  <c r="H13" i="2"/>
  <c r="E13" i="2"/>
  <c r="AB12" i="2"/>
  <c r="H12" i="2"/>
  <c r="E12" i="2"/>
  <c r="AB11" i="2"/>
  <c r="H11" i="2"/>
  <c r="E11" i="2"/>
  <c r="C7" i="2"/>
  <c r="D5" i="2"/>
  <c r="E19" i="2" l="1"/>
  <c r="F19" i="2"/>
  <c r="F14" i="2"/>
  <c r="I13" i="2"/>
  <c r="G11" i="2"/>
  <c r="G14" i="2"/>
  <c r="F17" i="2"/>
  <c r="I14" i="2"/>
  <c r="G17" i="2"/>
  <c r="G16" i="2"/>
  <c r="I11" i="2"/>
  <c r="F12" i="2"/>
  <c r="I17" i="2"/>
  <c r="G12" i="2"/>
  <c r="I12" i="2"/>
  <c r="G15" i="2"/>
  <c r="F18" i="2"/>
  <c r="G18" i="2"/>
  <c r="F15" i="2"/>
  <c r="I15" i="2" s="1"/>
  <c r="F13" i="2"/>
  <c r="I18" i="2"/>
  <c r="G13" i="2"/>
  <c r="D7" i="2"/>
  <c r="F16" i="2"/>
  <c r="I16" i="2" s="1"/>
  <c r="F1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<sst xmlns="http://schemas.openxmlformats.org/spreadsheetml/2006/main" count="758" uniqueCount="197">
  <si>
    <t>Synthèse des ventes de la pharmacie</t>
  </si>
  <si>
    <t>Classeur généré par main.py à partir des exports. Dernier jour de données : 08/10/2019.</t>
  </si>
  <si>
    <t>Début des données</t>
  </si>
  <si>
    <t>Dernier mois complet</t>
  </si>
  <si>
    <t>Jours analysés</t>
  </si>
  <si>
    <t>Groupes suivis</t>
  </si>
  <si>
    <t>Ce qu'il faut retenir</t>
  </si>
  <si>
    <t>•  Groupe le plus saisonnier : Antihistaminiques (R06), pic en mai (indice 176, 100 = mois moyen) et creux en décembre (indice 51).</t>
  </si>
  <si>
    <t>•  Groupe le plus régulier sur l'année : Anti-inflammatoires (type diclofénac) (M01AB), indices mensuels entre 93 et 107.</t>
  </si>
  <si>
    <t>•  Jour le plus chargé tous groupes confondus : samedi (indice 106) ; le plus calme : dimanche (indice 94).</t>
  </si>
  <si>
    <t>•  Tendance 2014 à 2018 : plus forte hausse pour Asthme et BPCO (+21.2% par an), plus forte baisse pour Antalgiques salicylés (type aspirine) (-8.5% par an).</t>
  </si>
  <si>
    <t>•  Environnement (donnée publique) : à compléter.</t>
  </si>
  <si>
    <t>•  Structure des ventes : tendance + saisonnalité pour 3, tendance seule pour 2, saisonnalité seule pour 2, ni l'une ni l'autre pour 1 groupe(s). Prévision de octobre 2019 : fiable pour 6 groupe(s) sur 8 (erreur moyenne sous 20% sur 24 mois de test) : M01AB, M01AE, N02BA, N02BE, N05B, R06. Un modèle fait mieux qu'une règle naïve pour 5 groupe(s). Détail dans la feuille Prevision.</t>
  </si>
  <si>
    <t>Les groupes en un coup d'œil</t>
  </si>
  <si>
    <t>Libellé</t>
  </si>
  <si>
    <t>Code</t>
  </si>
  <si>
    <t>Part du volume</t>
  </si>
  <si>
    <t>Évolution par an (2014 à 2018)</t>
  </si>
  <si>
    <t>Mois de pic</t>
  </si>
  <si>
    <t>Mois creux</t>
  </si>
  <si>
    <t>Jour le plus fort</t>
  </si>
  <si>
    <t>Variabilité (CV)</t>
  </si>
  <si>
    <t>Structure détectée</t>
  </si>
  <si>
    <t>Prévisible ?</t>
  </si>
  <si>
    <t>Anti-inflammatoires (type diclofénac)</t>
  </si>
  <si>
    <t>M01AB</t>
  </si>
  <si>
    <t>Août</t>
  </si>
  <si>
    <t>Juin</t>
  </si>
  <si>
    <t>Samedi</t>
  </si>
  <si>
    <t>Tendance seule</t>
  </si>
  <si>
    <t>Oui</t>
  </si>
  <si>
    <t>Anti-inflammatoires (type ibuprofène)</t>
  </si>
  <si>
    <t>M01AE</t>
  </si>
  <si>
    <t>Janv.</t>
  </si>
  <si>
    <t>Dimanche</t>
  </si>
  <si>
    <t>Saisonnalité seule</t>
  </si>
  <si>
    <t>Antalgiques salicylés (type aspirine)</t>
  </si>
  <si>
    <t>N02BA</t>
  </si>
  <si>
    <t>Févr.</t>
  </si>
  <si>
    <t>Sept.</t>
  </si>
  <si>
    <t>Mardi</t>
  </si>
  <si>
    <t>Tendance + saisonnalité</t>
  </si>
  <si>
    <t>Oui, une règle simple suffit</t>
  </si>
  <si>
    <t>Antalgiques (type paracétamol)</t>
  </si>
  <si>
    <t>N02BE</t>
  </si>
  <si>
    <t>Juil.</t>
  </si>
  <si>
    <t>Anxiolytiques</t>
  </si>
  <si>
    <t>N05B</t>
  </si>
  <si>
    <t>Mai</t>
  </si>
  <si>
    <t>Mercredi</t>
  </si>
  <si>
    <t>Hypnotiques et sédatifs</t>
  </si>
  <si>
    <t>N05C</t>
  </si>
  <si>
    <t>Avr.</t>
  </si>
  <si>
    <t>Vendredi</t>
  </si>
  <si>
    <t>Ni l'une ni l'autre</t>
  </si>
  <si>
    <t>Non</t>
  </si>
  <si>
    <t>Asthme et BPCO</t>
  </si>
  <si>
    <t>R03</t>
  </si>
  <si>
    <t>Déc.</t>
  </si>
  <si>
    <t>Lundi</t>
  </si>
  <si>
    <t>Antihistaminiques</t>
  </si>
  <si>
    <t>R06</t>
  </si>
  <si>
    <t>Saisonnalité : indice par mois (100 = mois moyen du groupe, à nombre de jours égal)</t>
  </si>
  <si>
    <t>Groupe</t>
  </si>
  <si>
    <t>Mars</t>
  </si>
  <si>
    <t>Oct.</t>
  </si>
  <si>
    <t>Nov.</t>
  </si>
  <si>
    <t>Anti-inflammatoires (type diclofénac) (M01AB)</t>
  </si>
  <si>
    <t>Anti-inflammatoires (type ibuprofène) (M01AE)</t>
  </si>
  <si>
    <t>Antalgiques salicylés (type aspirine) (N02BA)</t>
  </si>
  <si>
    <t>Antalgiques (type paracétamol) (N02BE)</t>
  </si>
  <si>
    <t>Anxiolytiques (N05B)</t>
  </si>
  <si>
    <t>Hypnotiques et sédatifs (N05C)</t>
  </si>
  <si>
    <t>Asthme et BPCO (R03)</t>
  </si>
  <si>
    <t>Antihistaminiques (R06)</t>
  </si>
  <si>
    <t>Limites : les quantités sont celles du logiciel de caisse, dont l'unité n'est pas documentée, et l'export ne contient aucun prix. Cette analyse porte donc sur des volumes, pas sur un chiffre d'affaires ni une marge. Les volumes de deux groupes différents ne sont pas directement comparables. Écart maximal constaté entre les quatre exports : 2.99 % (détail dans la feuille Etat_donnees).</t>
  </si>
  <si>
    <t>Ventes par groupe et par période</t>
  </si>
  <si>
    <t>Modifiez uniquement les cases jaunes. Pour un seul jour, mettez la même date en début et en fin.</t>
  </si>
  <si>
    <t>Date de début</t>
  </si>
  <si>
    <t>Date de fin</t>
  </si>
  <si>
    <t>Jours avec données</t>
  </si>
  <si>
    <t>Données disponibles du 02/01/2014 au 08/10/2019.</t>
  </si>
  <si>
    <t>Afficher</t>
  </si>
  <si>
    <t>Total sur la période</t>
  </si>
  <si>
    <t>Moyenne par jour</t>
  </si>
  <si>
    <t>Maximum sur un jour</t>
  </si>
  <si>
    <t>Moyenne habituelle par jour</t>
  </si>
  <si>
    <t>Écart à l'habitude</t>
  </si>
  <si>
    <t>Total des groupes affichés</t>
  </si>
  <si>
    <t>Mois</t>
  </si>
  <si>
    <t>Ventes des groupes affichés</t>
  </si>
  <si>
    <t>Détail jour par jour sur la période (tous les groupes)</t>
  </si>
  <si>
    <t>Date</t>
  </si>
  <si>
    <t>Statistiques descriptives (mois complets uniquement)</t>
  </si>
  <si>
    <t>Groupe ATC</t>
  </si>
  <si>
    <t>Total</t>
  </si>
  <si>
    <t>Médiane par jour</t>
  </si>
  <si>
    <t>Écart-type</t>
  </si>
  <si>
    <t>Coef. de variation</t>
  </si>
  <si>
    <t>Jours sans vente</t>
  </si>
  <si>
    <t>Évolution annuelle moyenne</t>
  </si>
  <si>
    <t>Indice du pic</t>
  </si>
  <si>
    <t>Indice par mois (100 = mois moyen du groupe)</t>
  </si>
  <si>
    <t>Indice par jour de semaine (100 = jour moyen du groupe)</t>
  </si>
  <si>
    <t>Jeudi</t>
  </si>
  <si>
    <t>Indice par heure (100 = heure moyenne du groupe, export horaire)</t>
  </si>
  <si>
    <t>0h</t>
  </si>
  <si>
    <t>1h</t>
  </si>
  <si>
    <t>2h</t>
  </si>
  <si>
    <t>3h</t>
  </si>
  <si>
    <t>4h</t>
  </si>
  <si>
    <t>5h</t>
  </si>
  <si>
    <t>6h</t>
  </si>
  <si>
    <t>7h</t>
  </si>
  <si>
    <t>8h</t>
  </si>
  <si>
    <t>9h</t>
  </si>
  <si>
    <t>10h</t>
  </si>
  <si>
    <t>11h</t>
  </si>
  <si>
    <t>12h</t>
  </si>
  <si>
    <t>13h</t>
  </si>
  <si>
    <t>14h</t>
  </si>
  <si>
    <t>15h</t>
  </si>
  <si>
    <t>16h</t>
  </si>
  <si>
    <t>17h</t>
  </si>
  <si>
    <t>18h</t>
  </si>
  <si>
    <t>19h</t>
  </si>
  <si>
    <t>20h</t>
  </si>
  <si>
    <t>21h</t>
  </si>
  <si>
    <t>22h</t>
  </si>
  <si>
    <t>23h</t>
  </si>
  <si>
    <t>Tendance, saisonnalité et prévision de octobre 2019</t>
  </si>
  <si>
    <t>1. Y a-t-il une tendance, une saisonnalité, ou les deux ?</t>
  </si>
  <si>
    <t>Tests sur la vente moyenne par jour de chaque mois complet. Une p-value sous 0.05 signale un effet peu compatible avec le hasard.</t>
  </si>
  <si>
    <t>Pente par an (% du niveau moyen)</t>
  </si>
  <si>
    <t>p-value tendance</t>
  </si>
  <si>
    <t>p-value saisonnalité</t>
  </si>
  <si>
    <t>Part de variance expliquée (R²)</t>
  </si>
  <si>
    <t>2. Quelle famille prévoit le mieux ? Test sur 24 mois (10/2017 à 09/2019), erreur moyenne en % des ventes du mois</t>
  </si>
  <si>
    <t>Meilleure régression</t>
  </si>
  <si>
    <t>Erreur régression</t>
  </si>
  <si>
    <t>Meilleur lissage</t>
  </si>
  <si>
    <t>Erreur lissage</t>
  </si>
  <si>
    <t>Meilleure naïve</t>
  </si>
  <si>
    <t>Erreur naïve</t>
  </si>
  <si>
    <t>Gain du meilleur modèle sur la naïve</t>
  </si>
  <si>
    <t>Méthode retenue</t>
  </si>
  <si>
    <t>Erreur de la méthode retenue</t>
  </si>
  <si>
    <t>Lissage simple</t>
  </si>
  <si>
    <t>Naïve : dernier mois</t>
  </si>
  <si>
    <t>Holt-Winters sans tendance (saison)</t>
  </si>
  <si>
    <t>Naïve : même mois an dernier</t>
  </si>
  <si>
    <t>Holt-Winters (tendance + saison)</t>
  </si>
  <si>
    <t>Chaque mois de test est prévu sans utiliser sa valeur, avec un modèle réajusté sur les seuls mois antérieurs.</t>
  </si>
  <si>
    <t>Détail : erreur de chaque méthode (en vert, la plus petite de la ligne)</t>
  </si>
  <si>
    <t>Lissage de Holt (tendance)</t>
  </si>
  <si>
    <t>3. Prévision pour octobre 2019 (quantités, unité du logiciel de caisse)</t>
  </si>
  <si>
    <t>Prévision</t>
  </si>
  <si>
    <t>Fourchette basse</t>
  </si>
  <si>
    <t>Fourchette haute</t>
  </si>
  <si>
    <t>Même mois, année précédente</t>
  </si>
  <si>
    <t>Méthode</t>
  </si>
  <si>
    <t>Fourchette : 8 mois sur 10, l'écart constaté pendant le test est resté dans cet intervalle. Pour un groupe marqué Non, le chiffre est donné à titre indicatif.</t>
  </si>
  <si>
    <t>Méthode. Toutes les méthodes travaillent sur la vente moyenne par jour de chaque mois, pour neutraliser la longueur du mois. Régressions linéaires : tendance seule (droite dans le temps), saisonnalité seule (un niveau par mois de l'année), tendance + saisonnalité ; tous les mois de l'historique pèsent autant. Lissages exponentiels : simple (niveau), Holt (niveau + tendance), Holt-Winters sans tendance (niveau + saison), Holt-Winters (niveau + tendance + saison), composantes additives ; les mois récents pèsent plus que les anciens. Tableau 1 : tendance testée par un test de Student sur la pente, saisonnalité par un test de Fisher sur les 11 écarts mensuels, chacune une fois l'autre prise en compte. Ces tests supposent des mois indépendants, ce qui est rarement vrai pour des ventes : les p-values sont optimistes et le tableau 2 fait foi. Tableau 2 : le meilleur modèle est retenu s'il réduit l'erreur d'au moins 10% par rapport à la meilleure naïve, sinon la naïve est gardée. Un groupe est jugé prévisible si l'erreur de la méthode retenue reste sous 20%. Les seuils se règlent en haut de main.py.</t>
  </si>
  <si>
    <t>Réel, meilleure régression et meilleur lissage sur les mois de test</t>
  </si>
  <si>
    <t>État des données</t>
  </si>
  <si>
    <t>Contrôle de chaque export</t>
  </si>
  <si>
    <t>Export</t>
  </si>
  <si>
    <t>Lignes</t>
  </si>
  <si>
    <t>Doublons (lignes complètes)</t>
  </si>
  <si>
    <t>Dates invalides</t>
  </si>
  <si>
    <t>Dates en double</t>
  </si>
  <si>
    <t>Début</t>
  </si>
  <si>
    <t>Fin</t>
  </si>
  <si>
    <t>Dates distinctes</t>
  </si>
  <si>
    <t>Dates attendues</t>
  </si>
  <si>
    <t>Dates manquantes</t>
  </si>
  <si>
    <t>Valeurs vides</t>
  </si>
  <si>
    <t>Valeurs négatives</t>
  </si>
  <si>
    <t>Hourly</t>
  </si>
  <si>
    <t>Daily</t>
  </si>
  <si>
    <t>Weekly</t>
  </si>
  <si>
    <t>Monthly</t>
  </si>
  <si>
    <t>Cohérence des totaux entre exports</t>
  </si>
  <si>
    <t>Écart max vs Daily (%)</t>
  </si>
  <si>
    <t>Un écart faible est attendu si les exports ne s'arrêtent pas à la même date.</t>
  </si>
  <si>
    <t>Quel export sert à quoi</t>
  </si>
  <si>
    <t>Utilisation</t>
  </si>
  <si>
    <t>Outil de sélection, statistiques par groupe, saisonnalité, jour de semaine, prévision.</t>
  </si>
  <si>
    <t>Profil par heure de la journée uniquement.</t>
  </si>
  <si>
    <t>Contrôle de cohérence uniquement (non utilisé dans les statistiques).</t>
  </si>
  <si>
    <t>Contrôle de cohérence uniquement (les mois sont recalculés à partir du Daily).</t>
  </si>
  <si>
    <t>Corrections et mises à l'écart</t>
  </si>
  <si>
    <t>Traitement</t>
  </si>
  <si>
    <t>Mois incomplet écarté des statistiques : données du 01/10/2019 au 08/10/2019 (conservées dans l'outil de sélection).</t>
  </si>
  <si>
    <t>Code ATC</t>
  </si>
  <si>
    <t>Libellés à vérifier avec la classification ATC officielle.</t>
  </si>
  <si>
    <t>Réel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</si>
</sst>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mm\ yyyy"/>
    <numFmt numFmtId="165" formatCode="0.0%"/>
    <numFmt numFmtId="166" formatCode="\+0.0%;\-0.0%;0.0%"/>
    <numFmt numFmtId="167" formatCode="#,##0.0"/>
    <numFmt numFmtId="168" formatCode="mmm\ yyyy"/>
    <numFmt numFmtId="169" formatCode="0.000"/>
  </numFmts>
  <fonts count="10" x14ac:knownFonts="1">
    <font>
      <sz val="11"/>
      <color theme="1"/>
      <name val="Calibri"/>
      <family val="2"/>
      <scheme val="minor"/>
    </font>
    <font>
      <b/>
      <sz val="18"/>
      <color rgb="FF1F3864"/>
      <name val="Calibri"/>
      <family val="2"/>
      <scheme val="minor"/>
    </font>
    <font>
      <i/>
      <sz val="11"/>
      <color rgb="FF595959"/>
      <name val="Calibri"/>
      <family val="2"/>
      <scheme val="minor"/>
    </font>
    <font>
      <sz val="11"/>
      <color rgb="FF595959"/>
      <name val="Calibri"/>
      <family val="2"/>
      <scheme val="minor"/>
    </font>
    <font>
      <b/>
      <sz val="14"/>
      <color rgb="FF1F3864"/>
      <name val="Calibri"/>
      <family val="2"/>
      <scheme val="minor"/>
    </font>
    <font>
      <b/>
      <sz val="13"/>
      <color rgb="FF1F3864"/>
      <name val="Calibri"/>
      <family val="2"/>
      <scheme val="minor"/>
    </font>
    <font>
      <b/>
      <sz val="11"/>
      <color rgb="FFFFFFFF"/>
      <name val="Calibri"/>
      <family val="2"/>
      <scheme val="minor"/>
    </font>
    <font>
      <sz val="11"/>
      <color rgb="FF7F6000"/>
      <name val="Calibri"/>
      <family val="2"/>
      <scheme val="minor"/>
    </font>
    <font>
      <b/>
      <sz val="11"/>
      <color theme="1"/>
      <name val="Calibri"/>
      <family val="2"/>
      <scheme val="minor"/>
    </font>
    <font>
      <b/>
      <sz val="11"/>
      <color rgb="FFC00000"/>
      <name val="Calibri"/>
      <family val="2"/>
      <scheme val="minor"/>
    </font>
  </fonts>
  <fills count="5">
    <fill>
      <patternFill patternType="none"/>
    </fill>
    <fill>
      <patternFill patternType="gray125"/>
    </fill>
    <fill>
      <patternFill patternType="solid">
        <fgColor rgb="FFF2F2F2"/>
        <bgColor indexed="64"/>
      </patternFill>
    </fill>
    <fill>
      <patternFill patternType="solid">
        <fgColor rgb="FF1F3864"/>
        <bgColor indexed="64"/>
      </patternFill>
    </fill>
    <fill>
      <patternFill patternType="solid">
        <fgColor rgb="FFFFF2CC"/>
        <bgColor indexed="64"/>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5">
    <xf numFmtId="0" fontId="0" fillId="0" borderId="0" xfId="0"/>
    <xf numFmtId="0" fontId="1" fillId="0" borderId="0" xfId="0" applyFont="1" applyAlignment="1">
      <alignment vertical="center"/>
    </xf>
    <xf numFmtId="0" fontId="2" fillId="0" borderId="0" xfId="0" applyFont="1" applyAlignment="1">
      <alignment vertical="center"/>
    </xf>
    <xf numFmtId="0" fontId="5" fillId="0" borderId="0" xfId="0" applyFont="1" applyAlignment="1">
      <alignment vertical="center"/>
    </xf>
    <xf numFmtId="0" fontId="6" fillId="3" borderId="3" xfId="0" applyFont="1" applyFill="1" applyBorder="1" applyAlignment="1">
      <alignment horizontal="center" vertical="center" wrapText="1"/>
    </xf>
    <xf numFmtId="0" fontId="0" fillId="0" borderId="3" xfId="0" applyBorder="1" applyAlignment="1">
      <alignment vertical="center"/>
    </xf>
    <xf numFmtId="0" fontId="0" fillId="0" borderId="3" xfId="0" applyBorder="1" applyAlignment="1">
      <alignment horizontal="center" vertical="center"/>
    </xf>
    <xf numFmtId="165" fontId="0" fillId="0" borderId="3" xfId="0" applyNumberFormat="1" applyBorder="1" applyAlignment="1">
      <alignment vertical="center"/>
    </xf>
    <xf numFmtId="166" fontId="0" fillId="0" borderId="3" xfId="0" applyNumberFormat="1" applyBorder="1" applyAlignment="1">
      <alignment vertical="center"/>
    </xf>
    <xf numFmtId="2" fontId="0" fillId="0" borderId="3" xfId="0" applyNumberFormat="1" applyBorder="1" applyAlignment="1">
      <alignment vertical="center"/>
    </xf>
    <xf numFmtId="3" fontId="0" fillId="0" borderId="3" xfId="0" applyNumberFormat="1" applyBorder="1" applyAlignment="1">
      <alignment vertical="center"/>
    </xf>
    <xf numFmtId="14" fontId="8" fillId="4" borderId="4" xfId="0" applyNumberFormat="1" applyFont="1" applyFill="1" applyBorder="1" applyAlignment="1">
      <alignment horizontal="center" vertical="center"/>
    </xf>
    <xf numFmtId="0" fontId="9" fillId="0" borderId="0" xfId="0" applyFont="1" applyAlignment="1">
      <alignment vertical="center"/>
    </xf>
    <xf numFmtId="0" fontId="8" fillId="4" borderId="4" xfId="0" applyFont="1" applyFill="1" applyBorder="1" applyAlignment="1">
      <alignment horizontal="center" vertical="center"/>
    </xf>
    <xf numFmtId="167" fontId="0" fillId="0" borderId="3" xfId="0" applyNumberFormat="1" applyBorder="1" applyAlignment="1">
      <alignment vertical="center"/>
    </xf>
    <xf numFmtId="168" fontId="0" fillId="0" borderId="3" xfId="0" applyNumberFormat="1" applyBorder="1" applyAlignment="1">
      <alignment horizontal="center" vertical="center"/>
    </xf>
    <xf numFmtId="169" fontId="0" fillId="0" borderId="3" xfId="0" applyNumberFormat="1" applyBorder="1"/>
    <xf numFmtId="22" fontId="0" fillId="0" borderId="3" xfId="0" applyNumberFormat="1" applyBorder="1" applyAlignment="1">
      <alignment horizontal="center" vertical="center"/>
    </xf>
    <xf numFmtId="14" fontId="0" fillId="0" borderId="3" xfId="0" applyNumberFormat="1" applyBorder="1" applyAlignment="1">
      <alignment horizontal="center" vertical="center"/>
    </xf>
    <xf numFmtId="0" fontId="3" fillId="2" borderId="1" xfId="0" applyFont="1" applyFill="1" applyBorder="1" applyAlignment="1">
      <alignment horizontal="center" vertical="center"/>
    </xf>
    <xf numFmtId="14" fontId="4" fillId="2" borderId="2" xfId="0" applyNumberFormat="1" applyFont="1" applyFill="1" applyBorder="1" applyAlignment="1">
      <alignment horizontal="center" vertical="center"/>
    </xf>
    <xf numFmtId="164" fontId="4" fillId="2" borderId="2" xfId="0" applyNumberFormat="1" applyFont="1" applyFill="1" applyBorder="1" applyAlignment="1">
      <alignment horizontal="center" vertical="center"/>
    </xf>
    <xf numFmtId="3" fontId="4" fillId="2" borderId="2" xfId="0" applyNumberFormat="1" applyFont="1" applyFill="1" applyBorder="1" applyAlignment="1">
      <alignment horizontal="center" vertical="center"/>
    </xf>
    <xf numFmtId="0" fontId="0" fillId="0" borderId="0" xfId="0" applyAlignment="1">
      <alignment vertical="top" wrapText="1"/>
    </xf>
    <xf numFmtId="0" fontId="7" fillId="4" borderId="3" xfId="0" applyFont="1" applyFill="1" applyBorder="1" applyAlignment="1">
      <alignment vertical="top" wrapText="1"/>
    </xf>
  </cellXfs>
  <cellStyles count="1">
    <cellStyle name="Normal" xfId="0" builtinId="0"/>
  </cellStyles>
  <dxfs count="16">
    <dxf>
      <font>
        <b/>
        <color rgb="FF9C0006"/>
      </font>
      <fill>
        <patternFill>
          <bgColor rgb="FFFFC7CE"/>
        </patternFill>
      </fill>
    </dxf>
    <dxf>
      <font>
        <b/>
        <color rgb="FF375623"/>
      </font>
      <fill>
        <patternFill>
          <bgColor rgb="FFE2EFDA"/>
        </patternFill>
      </fill>
    </dxf>
    <dxf>
      <font>
        <b/>
        <color rgb="FF9C0006"/>
      </font>
      <fill>
        <patternFill>
          <bgColor rgb="FFFFC7CE"/>
        </patternFill>
      </fill>
    </dxf>
    <dxf>
      <font>
        <b/>
        <color rgb="FF375623"/>
      </font>
      <fill>
        <patternFill>
          <bgColor rgb="FFE2EFDA"/>
        </patternFill>
      </fill>
    </dxf>
    <dxf>
      <font>
        <b/>
        <color rgb="FF375623"/>
      </font>
      <fill>
        <patternFill>
          <bgColor rgb="FFE2EFDA"/>
        </patternFill>
      </fill>
    </dxf>
    <dxf>
      <font>
        <b/>
        <color rgb="FF375623"/>
      </font>
      <fill>
        <patternFill>
          <bgColor rgb="FFE2EFDA"/>
        </patternFill>
      </fill>
    </dxf>
    <dxf>
      <font>
        <b/>
        <color rgb="FF375623"/>
      </font>
      <fill>
        <patternFill>
          <bgColor rgb="FFE2EFDA"/>
        </patternFill>
      </fill>
    </dxf>
    <dxf>
      <font>
        <b/>
        <color rgb="FF375623"/>
      </font>
      <fill>
        <patternFill>
          <bgColor rgb="FFE2EFDA"/>
        </patternFill>
      </fill>
    </dxf>
    <dxf>
      <font>
        <b/>
        <color rgb="FF375623"/>
      </font>
      <fill>
        <patternFill>
          <bgColor rgb="FFE2EFDA"/>
        </patternFill>
      </fill>
    </dxf>
    <dxf>
      <font>
        <b/>
        <color rgb="FF375623"/>
      </font>
      <fill>
        <patternFill>
          <bgColor rgb="FFE2EFDA"/>
        </patternFill>
      </fill>
    </dxf>
    <dxf>
      <font>
        <b/>
        <color rgb="FF375623"/>
      </font>
      <fill>
        <patternFill>
          <bgColor rgb="FFE2EFDA"/>
        </patternFill>
      </fill>
    </dxf>
    <dxf>
      <font>
        <b/>
        <color rgb="FF375623"/>
      </font>
      <fill>
        <patternFill>
          <bgColor rgb="FFE2EFDA"/>
        </patternFill>
      </fill>
    </dxf>
    <dxf>
      <font>
        <b/>
        <color rgb="FF375623"/>
      </font>
      <fill>
        <patternFill>
          <bgColor rgb="FFE2EFDA"/>
        </patternFill>
      </fill>
    </dxf>
    <dxf>
      <numFmt numFmtId="19" formatCode="dd/mm/yyyy"/>
    </dxf>
    <dxf>
      <font>
        <color rgb="FF9C0006"/>
      </font>
      <fill>
        <patternFill>
          <bgColor rgb="FFFFC7CE"/>
        </patternFill>
      </fill>
    </dxf>
    <dxf>
      <font>
        <color rgb="FF375623"/>
      </font>
      <fill>
        <patternFill>
          <b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aseline="0"/>
            </a:pPr>
            <a:r>
              <a:rPr lang="en-US" sz="1200" baseline="0"/>
              <a:t>Ventes mensuelles par groupe (mois complets)</a:t>
            </a:r>
          </a:p>
        </c:rich>
      </c:tx>
      <c:overlay val="0"/>
    </c:title>
    <c:autoTitleDeleted val="0"/>
    <c:plotArea>
      <c:layout/>
      <c:lineChart>
        <c:grouping val="standard"/>
        <c:varyColors val="0"/>
        <c:ser>
          <c:idx val="0"/>
          <c:order val="0"/>
          <c:tx>
            <c:strRef>
              <c:f>Mensuel!$B$1</c:f>
              <c:strCache>
                <c:ptCount val="1"/>
                <c:pt idx="0">
                  <c:v>M01AB</c:v>
                </c:pt>
              </c:strCache>
            </c:strRef>
          </c:tx>
          <c:spPr>
            <a:ln w="19050"/>
          </c:spPr>
          <c:marker>
            <c:symbol val="none"/>
          </c:marker>
          <c:cat>
            <c:numRef>
              <c:f>Mensuel!$A$2:$A$70</c:f>
              <c:numCache>
                <c:formatCode>mmm\ yyyy</c:formatCode>
                <c:ptCount val="69"/>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numCache>
            </c:numRef>
          </c:cat>
          <c:val>
            <c:numRef>
              <c:f>Mensuel!$B$2:$B$70</c:f>
              <c:numCache>
                <c:formatCode>General</c:formatCode>
                <c:ptCount val="69"/>
                <c:pt idx="0">
                  <c:v>132.02000000000001</c:v>
                </c:pt>
                <c:pt idx="1">
                  <c:v>133.32</c:v>
                </c:pt>
                <c:pt idx="2">
                  <c:v>137.44</c:v>
                </c:pt>
                <c:pt idx="3">
                  <c:v>119.44</c:v>
                </c:pt>
                <c:pt idx="4">
                  <c:v>103.46</c:v>
                </c:pt>
                <c:pt idx="5">
                  <c:v>112.07</c:v>
                </c:pt>
                <c:pt idx="6">
                  <c:v>117.06</c:v>
                </c:pt>
                <c:pt idx="7">
                  <c:v>124.79</c:v>
                </c:pt>
                <c:pt idx="8">
                  <c:v>108.78</c:v>
                </c:pt>
                <c:pt idx="9">
                  <c:v>98.42</c:v>
                </c:pt>
                <c:pt idx="10">
                  <c:v>138.08000000000001</c:v>
                </c:pt>
                <c:pt idx="11">
                  <c:v>143.9</c:v>
                </c:pt>
                <c:pt idx="12">
                  <c:v>142.58000000000001</c:v>
                </c:pt>
                <c:pt idx="13">
                  <c:v>115.71</c:v>
                </c:pt>
                <c:pt idx="14">
                  <c:v>156.04</c:v>
                </c:pt>
                <c:pt idx="15">
                  <c:v>157.84</c:v>
                </c:pt>
                <c:pt idx="16">
                  <c:v>160.02000000000001</c:v>
                </c:pt>
                <c:pt idx="17">
                  <c:v>151.87</c:v>
                </c:pt>
                <c:pt idx="18">
                  <c:v>175.61</c:v>
                </c:pt>
                <c:pt idx="19">
                  <c:v>181.69</c:v>
                </c:pt>
                <c:pt idx="20">
                  <c:v>166.22</c:v>
                </c:pt>
                <c:pt idx="21">
                  <c:v>195.81</c:v>
                </c:pt>
                <c:pt idx="22">
                  <c:v>142.78</c:v>
                </c:pt>
                <c:pt idx="23">
                  <c:v>168.14</c:v>
                </c:pt>
                <c:pt idx="24">
                  <c:v>188.31</c:v>
                </c:pt>
                <c:pt idx="25">
                  <c:v>173.81</c:v>
                </c:pt>
                <c:pt idx="26">
                  <c:v>156.63999999999999</c:v>
                </c:pt>
                <c:pt idx="27">
                  <c:v>166.61</c:v>
                </c:pt>
                <c:pt idx="28">
                  <c:v>171.36</c:v>
                </c:pt>
                <c:pt idx="29">
                  <c:v>169.67</c:v>
                </c:pt>
                <c:pt idx="30">
                  <c:v>194.52833333300001</c:v>
                </c:pt>
                <c:pt idx="31">
                  <c:v>211.13</c:v>
                </c:pt>
                <c:pt idx="32">
                  <c:v>172.96</c:v>
                </c:pt>
                <c:pt idx="33">
                  <c:v>186.76</c:v>
                </c:pt>
                <c:pt idx="34">
                  <c:v>166.84666666699999</c:v>
                </c:pt>
                <c:pt idx="35">
                  <c:v>172.66</c:v>
                </c:pt>
                <c:pt idx="36">
                  <c:v>184.53</c:v>
                </c:pt>
                <c:pt idx="37">
                  <c:v>151.98500000000001</c:v>
                </c:pt>
                <c:pt idx="38">
                  <c:v>162.85</c:v>
                </c:pt>
                <c:pt idx="39">
                  <c:v>160.61000000000001</c:v>
                </c:pt>
                <c:pt idx="40">
                  <c:v>143.66</c:v>
                </c:pt>
                <c:pt idx="41">
                  <c:v>122.33</c:v>
                </c:pt>
                <c:pt idx="42">
                  <c:v>150.29499999999999</c:v>
                </c:pt>
                <c:pt idx="43">
                  <c:v>170.15</c:v>
                </c:pt>
                <c:pt idx="44">
                  <c:v>138.33000000000001</c:v>
                </c:pt>
                <c:pt idx="45">
                  <c:v>140.97</c:v>
                </c:pt>
                <c:pt idx="46">
                  <c:v>163.85</c:v>
                </c:pt>
                <c:pt idx="47">
                  <c:v>162.51</c:v>
                </c:pt>
                <c:pt idx="48">
                  <c:v>151.44</c:v>
                </c:pt>
                <c:pt idx="49">
                  <c:v>128.36000000000001</c:v>
                </c:pt>
                <c:pt idx="50">
                  <c:v>146.16</c:v>
                </c:pt>
                <c:pt idx="51">
                  <c:v>171.02</c:v>
                </c:pt>
                <c:pt idx="52">
                  <c:v>160.52000000000001</c:v>
                </c:pt>
                <c:pt idx="53">
                  <c:v>141.18</c:v>
                </c:pt>
                <c:pt idx="54">
                  <c:v>150.18</c:v>
                </c:pt>
                <c:pt idx="55">
                  <c:v>140</c:v>
                </c:pt>
                <c:pt idx="56">
                  <c:v>153.52000000000001</c:v>
                </c:pt>
                <c:pt idx="57">
                  <c:v>144.71</c:v>
                </c:pt>
                <c:pt idx="58">
                  <c:v>172.29</c:v>
                </c:pt>
                <c:pt idx="59">
                  <c:v>167.88</c:v>
                </c:pt>
                <c:pt idx="60">
                  <c:v>184.71</c:v>
                </c:pt>
                <c:pt idx="61">
                  <c:v>133.72999999999999</c:v>
                </c:pt>
                <c:pt idx="62">
                  <c:v>154.52000000000001</c:v>
                </c:pt>
                <c:pt idx="63">
                  <c:v>169.4</c:v>
                </c:pt>
                <c:pt idx="64">
                  <c:v>168.04</c:v>
                </c:pt>
                <c:pt idx="65">
                  <c:v>151.54</c:v>
                </c:pt>
                <c:pt idx="66">
                  <c:v>181</c:v>
                </c:pt>
                <c:pt idx="67">
                  <c:v>181.91</c:v>
                </c:pt>
                <c:pt idx="68">
                  <c:v>161.07</c:v>
                </c:pt>
              </c:numCache>
            </c:numRef>
          </c:val>
          <c:smooth val="0"/>
          <c:extLst>
            <c:ext xmlns:c16="http://schemas.microsoft.com/office/drawing/2014/chart" uri="{C3380CC4-5D6E-409C-BE32-E72D297353CC}">
              <c16:uniqueId val="{00000000-6976-4F91-B94A-A0D7DBD2E35E}"/>
            </c:ext>
          </c:extLst>
        </c:ser>
        <c:ser>
          <c:idx val="1"/>
          <c:order val="1"/>
          <c:tx>
            <c:strRef>
              <c:f>Mensuel!$C$1</c:f>
              <c:strCache>
                <c:ptCount val="1"/>
                <c:pt idx="0">
                  <c:v>M01AE</c:v>
                </c:pt>
              </c:strCache>
            </c:strRef>
          </c:tx>
          <c:spPr>
            <a:ln w="19050"/>
          </c:spPr>
          <c:marker>
            <c:symbol val="none"/>
          </c:marker>
          <c:cat>
            <c:numRef>
              <c:f>Mensuel!$A$2:$A$70</c:f>
              <c:numCache>
                <c:formatCode>mmm\ yyyy</c:formatCode>
                <c:ptCount val="69"/>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numCache>
            </c:numRef>
          </c:cat>
          <c:val>
            <c:numRef>
              <c:f>Mensuel!$C$2:$C$70</c:f>
              <c:numCache>
                <c:formatCode>General</c:formatCode>
                <c:ptCount val="69"/>
                <c:pt idx="0">
                  <c:v>99.75</c:v>
                </c:pt>
                <c:pt idx="1">
                  <c:v>126.05</c:v>
                </c:pt>
                <c:pt idx="2">
                  <c:v>92.95</c:v>
                </c:pt>
                <c:pt idx="3">
                  <c:v>91.474999999999994</c:v>
                </c:pt>
                <c:pt idx="4">
                  <c:v>125.93300000000001</c:v>
                </c:pt>
                <c:pt idx="5">
                  <c:v>94.71</c:v>
                </c:pt>
                <c:pt idx="6">
                  <c:v>95.009999999999991</c:v>
                </c:pt>
                <c:pt idx="7">
                  <c:v>99.78</c:v>
                </c:pt>
                <c:pt idx="8">
                  <c:v>109.09399999999999</c:v>
                </c:pt>
                <c:pt idx="9">
                  <c:v>109.23099999999999</c:v>
                </c:pt>
                <c:pt idx="10">
                  <c:v>100.86</c:v>
                </c:pt>
                <c:pt idx="11">
                  <c:v>130.30199999999999</c:v>
                </c:pt>
                <c:pt idx="12">
                  <c:v>145.08500000000001</c:v>
                </c:pt>
                <c:pt idx="13">
                  <c:v>123.74</c:v>
                </c:pt>
                <c:pt idx="14">
                  <c:v>129.386</c:v>
                </c:pt>
                <c:pt idx="15">
                  <c:v>104.455</c:v>
                </c:pt>
                <c:pt idx="16">
                  <c:v>119.117</c:v>
                </c:pt>
                <c:pt idx="17">
                  <c:v>113.69</c:v>
                </c:pt>
                <c:pt idx="18">
                  <c:v>113.81</c:v>
                </c:pt>
                <c:pt idx="19">
                  <c:v>144.51900000000001</c:v>
                </c:pt>
                <c:pt idx="20">
                  <c:v>134.12200000000001</c:v>
                </c:pt>
                <c:pt idx="21">
                  <c:v>127.23099999999999</c:v>
                </c:pt>
                <c:pt idx="22">
                  <c:v>128.233</c:v>
                </c:pt>
                <c:pt idx="23">
                  <c:v>134.49100000000001</c:v>
                </c:pt>
                <c:pt idx="24">
                  <c:v>138.458</c:v>
                </c:pt>
                <c:pt idx="25">
                  <c:v>137.52799999999999</c:v>
                </c:pt>
                <c:pt idx="26">
                  <c:v>165.589</c:v>
                </c:pt>
                <c:pt idx="27">
                  <c:v>146.52600000000001</c:v>
                </c:pt>
                <c:pt idx="28">
                  <c:v>127.521</c:v>
                </c:pt>
                <c:pt idx="29">
                  <c:v>114.961</c:v>
                </c:pt>
                <c:pt idx="30">
                  <c:v>141.01900000000001</c:v>
                </c:pt>
                <c:pt idx="31">
                  <c:v>114.375</c:v>
                </c:pt>
                <c:pt idx="32">
                  <c:v>126.218</c:v>
                </c:pt>
                <c:pt idx="33">
                  <c:v>142.05600000000001</c:v>
                </c:pt>
                <c:pt idx="34">
                  <c:v>116.85</c:v>
                </c:pt>
                <c:pt idx="35">
                  <c:v>140.05600000000001</c:v>
                </c:pt>
                <c:pt idx="36">
                  <c:v>156.56</c:v>
                </c:pt>
                <c:pt idx="37">
                  <c:v>124.96899999999999</c:v>
                </c:pt>
                <c:pt idx="38">
                  <c:v>111.05500000000001</c:v>
                </c:pt>
                <c:pt idx="39">
                  <c:v>105.261</c:v>
                </c:pt>
                <c:pt idx="40">
                  <c:v>118.125</c:v>
                </c:pt>
                <c:pt idx="41">
                  <c:v>103.006</c:v>
                </c:pt>
                <c:pt idx="42">
                  <c:v>116.206</c:v>
                </c:pt>
                <c:pt idx="43">
                  <c:v>112.47</c:v>
                </c:pt>
                <c:pt idx="44">
                  <c:v>118.711</c:v>
                </c:pt>
                <c:pt idx="45">
                  <c:v>93.802999999999997</c:v>
                </c:pt>
                <c:pt idx="46">
                  <c:v>119.78</c:v>
                </c:pt>
                <c:pt idx="47">
                  <c:v>123.762</c:v>
                </c:pt>
                <c:pt idx="48">
                  <c:v>116.28100000000001</c:v>
                </c:pt>
                <c:pt idx="49">
                  <c:v>132.804</c:v>
                </c:pt>
                <c:pt idx="50">
                  <c:v>111.764</c:v>
                </c:pt>
                <c:pt idx="51">
                  <c:v>110.482</c:v>
                </c:pt>
                <c:pt idx="52">
                  <c:v>103.52200000000001</c:v>
                </c:pt>
                <c:pt idx="53">
                  <c:v>114.226</c:v>
                </c:pt>
                <c:pt idx="54">
                  <c:v>132.54900000000001</c:v>
                </c:pt>
                <c:pt idx="55">
                  <c:v>114.71899999999999</c:v>
                </c:pt>
                <c:pt idx="56">
                  <c:v>114.992</c:v>
                </c:pt>
                <c:pt idx="57">
                  <c:v>129.4</c:v>
                </c:pt>
                <c:pt idx="58">
                  <c:v>105.48699999999999</c:v>
                </c:pt>
                <c:pt idx="59">
                  <c:v>122.267</c:v>
                </c:pt>
                <c:pt idx="60">
                  <c:v>207.63900000000001</c:v>
                </c:pt>
                <c:pt idx="61">
                  <c:v>142.155</c:v>
                </c:pt>
                <c:pt idx="62">
                  <c:v>113.11799999999999</c:v>
                </c:pt>
                <c:pt idx="63">
                  <c:v>112.123</c:v>
                </c:pt>
                <c:pt idx="64">
                  <c:v>97.257999999999996</c:v>
                </c:pt>
                <c:pt idx="65">
                  <c:v>101.627</c:v>
                </c:pt>
                <c:pt idx="66">
                  <c:v>103.541</c:v>
                </c:pt>
                <c:pt idx="67">
                  <c:v>88.269000000000005</c:v>
                </c:pt>
                <c:pt idx="68">
                  <c:v>111.437</c:v>
                </c:pt>
              </c:numCache>
            </c:numRef>
          </c:val>
          <c:smooth val="0"/>
          <c:extLst>
            <c:ext xmlns:c16="http://schemas.microsoft.com/office/drawing/2014/chart" uri="{C3380CC4-5D6E-409C-BE32-E72D297353CC}">
              <c16:uniqueId val="{00000001-6976-4F91-B94A-A0D7DBD2E35E}"/>
            </c:ext>
          </c:extLst>
        </c:ser>
        <c:ser>
          <c:idx val="2"/>
          <c:order val="2"/>
          <c:tx>
            <c:strRef>
              <c:f>Mensuel!$D$1</c:f>
              <c:strCache>
                <c:ptCount val="1"/>
                <c:pt idx="0">
                  <c:v>N02BA</c:v>
                </c:pt>
              </c:strCache>
            </c:strRef>
          </c:tx>
          <c:spPr>
            <a:ln w="19050"/>
          </c:spPr>
          <c:marker>
            <c:symbol val="none"/>
          </c:marker>
          <c:cat>
            <c:numRef>
              <c:f>Mensuel!$A$2:$A$70</c:f>
              <c:numCache>
                <c:formatCode>mmm\ yyyy</c:formatCode>
                <c:ptCount val="69"/>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numCache>
            </c:numRef>
          </c:cat>
          <c:val>
            <c:numRef>
              <c:f>Mensuel!$D$2:$D$70</c:f>
              <c:numCache>
                <c:formatCode>General</c:formatCode>
                <c:ptCount val="69"/>
                <c:pt idx="0">
                  <c:v>154.6</c:v>
                </c:pt>
                <c:pt idx="1">
                  <c:v>177</c:v>
                </c:pt>
                <c:pt idx="2">
                  <c:v>147.655</c:v>
                </c:pt>
                <c:pt idx="3">
                  <c:v>127.15</c:v>
                </c:pt>
                <c:pt idx="4">
                  <c:v>135.1</c:v>
                </c:pt>
                <c:pt idx="5">
                  <c:v>122.9</c:v>
                </c:pt>
                <c:pt idx="6">
                  <c:v>129.30000000000001</c:v>
                </c:pt>
                <c:pt idx="7">
                  <c:v>123.8</c:v>
                </c:pt>
                <c:pt idx="8">
                  <c:v>112.1</c:v>
                </c:pt>
                <c:pt idx="9">
                  <c:v>142.6</c:v>
                </c:pt>
                <c:pt idx="10">
                  <c:v>142.69999999999999</c:v>
                </c:pt>
                <c:pt idx="11">
                  <c:v>113.324</c:v>
                </c:pt>
                <c:pt idx="12">
                  <c:v>148.9</c:v>
                </c:pt>
                <c:pt idx="13">
                  <c:v>131.83000000000001</c:v>
                </c:pt>
                <c:pt idx="14">
                  <c:v>133.80000000000001</c:v>
                </c:pt>
                <c:pt idx="15">
                  <c:v>122.1</c:v>
                </c:pt>
                <c:pt idx="16">
                  <c:v>136.04</c:v>
                </c:pt>
                <c:pt idx="17">
                  <c:v>145.46</c:v>
                </c:pt>
                <c:pt idx="18">
                  <c:v>125.5</c:v>
                </c:pt>
                <c:pt idx="19">
                  <c:v>133.4</c:v>
                </c:pt>
                <c:pt idx="20">
                  <c:v>110.4</c:v>
                </c:pt>
                <c:pt idx="21">
                  <c:v>146.19999999999999</c:v>
                </c:pt>
                <c:pt idx="22">
                  <c:v>145.9</c:v>
                </c:pt>
                <c:pt idx="23">
                  <c:v>142</c:v>
                </c:pt>
                <c:pt idx="24">
                  <c:v>187</c:v>
                </c:pt>
                <c:pt idx="25">
                  <c:v>134.19999999999999</c:v>
                </c:pt>
                <c:pt idx="26">
                  <c:v>148.4</c:v>
                </c:pt>
                <c:pt idx="27">
                  <c:v>147.69999999999999</c:v>
                </c:pt>
                <c:pt idx="28">
                  <c:v>131.55000000000001</c:v>
                </c:pt>
                <c:pt idx="29">
                  <c:v>117.75</c:v>
                </c:pt>
                <c:pt idx="30">
                  <c:v>137.9</c:v>
                </c:pt>
                <c:pt idx="31">
                  <c:v>132.69999999999999</c:v>
                </c:pt>
                <c:pt idx="32">
                  <c:v>116.7</c:v>
                </c:pt>
                <c:pt idx="33">
                  <c:v>160.15</c:v>
                </c:pt>
                <c:pt idx="34">
                  <c:v>133.85</c:v>
                </c:pt>
                <c:pt idx="35">
                  <c:v>125.100666667</c:v>
                </c:pt>
                <c:pt idx="36">
                  <c:v>122.1</c:v>
                </c:pt>
                <c:pt idx="37">
                  <c:v>128.15</c:v>
                </c:pt>
                <c:pt idx="38">
                  <c:v>107.35</c:v>
                </c:pt>
                <c:pt idx="39">
                  <c:v>100.5</c:v>
                </c:pt>
                <c:pt idx="40">
                  <c:v>98.95</c:v>
                </c:pt>
                <c:pt idx="41">
                  <c:v>99.6</c:v>
                </c:pt>
                <c:pt idx="42">
                  <c:v>75.2</c:v>
                </c:pt>
                <c:pt idx="43">
                  <c:v>84.399999999999991</c:v>
                </c:pt>
                <c:pt idx="44">
                  <c:v>88.15</c:v>
                </c:pt>
                <c:pt idx="45">
                  <c:v>102.4</c:v>
                </c:pt>
                <c:pt idx="46">
                  <c:v>104.45</c:v>
                </c:pt>
                <c:pt idx="47">
                  <c:v>118.15</c:v>
                </c:pt>
                <c:pt idx="48">
                  <c:v>109.15</c:v>
                </c:pt>
                <c:pt idx="49">
                  <c:v>114.65</c:v>
                </c:pt>
                <c:pt idx="50">
                  <c:v>122.3</c:v>
                </c:pt>
                <c:pt idx="51">
                  <c:v>85.6</c:v>
                </c:pt>
                <c:pt idx="52">
                  <c:v>89.4</c:v>
                </c:pt>
                <c:pt idx="53">
                  <c:v>86.8</c:v>
                </c:pt>
                <c:pt idx="54">
                  <c:v>87.2</c:v>
                </c:pt>
                <c:pt idx="55">
                  <c:v>88.25</c:v>
                </c:pt>
                <c:pt idx="56">
                  <c:v>86.5</c:v>
                </c:pt>
                <c:pt idx="57">
                  <c:v>76.05</c:v>
                </c:pt>
                <c:pt idx="58">
                  <c:v>102.15</c:v>
                </c:pt>
                <c:pt idx="59">
                  <c:v>91.75</c:v>
                </c:pt>
                <c:pt idx="60">
                  <c:v>109.6</c:v>
                </c:pt>
                <c:pt idx="61">
                  <c:v>110.2</c:v>
                </c:pt>
                <c:pt idx="62">
                  <c:v>83.35</c:v>
                </c:pt>
                <c:pt idx="63">
                  <c:v>96.1</c:v>
                </c:pt>
                <c:pt idx="64">
                  <c:v>104.1</c:v>
                </c:pt>
                <c:pt idx="65">
                  <c:v>103.2</c:v>
                </c:pt>
                <c:pt idx="66">
                  <c:v>92.8</c:v>
                </c:pt>
                <c:pt idx="67">
                  <c:v>84.2</c:v>
                </c:pt>
                <c:pt idx="68">
                  <c:v>93.5</c:v>
                </c:pt>
              </c:numCache>
            </c:numRef>
          </c:val>
          <c:smooth val="0"/>
          <c:extLst>
            <c:ext xmlns:c16="http://schemas.microsoft.com/office/drawing/2014/chart" uri="{C3380CC4-5D6E-409C-BE32-E72D297353CC}">
              <c16:uniqueId val="{00000002-6976-4F91-B94A-A0D7DBD2E35E}"/>
            </c:ext>
          </c:extLst>
        </c:ser>
        <c:ser>
          <c:idx val="3"/>
          <c:order val="3"/>
          <c:tx>
            <c:strRef>
              <c:f>Mensuel!$E$1</c:f>
              <c:strCache>
                <c:ptCount val="1"/>
                <c:pt idx="0">
                  <c:v>N02BE</c:v>
                </c:pt>
              </c:strCache>
            </c:strRef>
          </c:tx>
          <c:spPr>
            <a:ln w="19050"/>
          </c:spPr>
          <c:marker>
            <c:symbol val="none"/>
          </c:marker>
          <c:cat>
            <c:numRef>
              <c:f>Mensuel!$A$2:$A$70</c:f>
              <c:numCache>
                <c:formatCode>mmm\ yyyy</c:formatCode>
                <c:ptCount val="69"/>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numCache>
            </c:numRef>
          </c:cat>
          <c:val>
            <c:numRef>
              <c:f>Mensuel!$E$2:$E$70</c:f>
              <c:numCache>
                <c:formatCode>General</c:formatCode>
                <c:ptCount val="69"/>
                <c:pt idx="0">
                  <c:v>915.03</c:v>
                </c:pt>
                <c:pt idx="1">
                  <c:v>1001.9</c:v>
                </c:pt>
                <c:pt idx="2">
                  <c:v>779.27499999999998</c:v>
                </c:pt>
                <c:pt idx="3">
                  <c:v>718.5</c:v>
                </c:pt>
                <c:pt idx="4">
                  <c:v>640.78</c:v>
                </c:pt>
                <c:pt idx="5">
                  <c:v>548.22500000000002</c:v>
                </c:pt>
                <c:pt idx="6">
                  <c:v>491.9</c:v>
                </c:pt>
                <c:pt idx="7">
                  <c:v>547.35</c:v>
                </c:pt>
                <c:pt idx="8">
                  <c:v>887.81999999999994</c:v>
                </c:pt>
                <c:pt idx="9">
                  <c:v>1046.415</c:v>
                </c:pt>
                <c:pt idx="10">
                  <c:v>723.8</c:v>
                </c:pt>
                <c:pt idx="11">
                  <c:v>1036.1600000000001</c:v>
                </c:pt>
                <c:pt idx="12">
                  <c:v>1096.3399999999999</c:v>
                </c:pt>
                <c:pt idx="13">
                  <c:v>953.25200000000007</c:v>
                </c:pt>
                <c:pt idx="14">
                  <c:v>1084.8499999999999</c:v>
                </c:pt>
                <c:pt idx="15">
                  <c:v>1013.67</c:v>
                </c:pt>
                <c:pt idx="16">
                  <c:v>765.9</c:v>
                </c:pt>
                <c:pt idx="17">
                  <c:v>715.41300000000001</c:v>
                </c:pt>
                <c:pt idx="18">
                  <c:v>708.82799999999997</c:v>
                </c:pt>
                <c:pt idx="19">
                  <c:v>790.78800000000001</c:v>
                </c:pt>
                <c:pt idx="20">
                  <c:v>852.125</c:v>
                </c:pt>
                <c:pt idx="21">
                  <c:v>1574.335</c:v>
                </c:pt>
                <c:pt idx="22">
                  <c:v>1234.9749999999999</c:v>
                </c:pt>
                <c:pt idx="23">
                  <c:v>1293.3989999999999</c:v>
                </c:pt>
                <c:pt idx="24">
                  <c:v>1616.5239999999999</c:v>
                </c:pt>
                <c:pt idx="25">
                  <c:v>1224.8620000000001</c:v>
                </c:pt>
                <c:pt idx="26">
                  <c:v>1150.7</c:v>
                </c:pt>
                <c:pt idx="27">
                  <c:v>998.33699999999999</c:v>
                </c:pt>
                <c:pt idx="28">
                  <c:v>1018.55</c:v>
                </c:pt>
                <c:pt idx="29">
                  <c:v>760.05</c:v>
                </c:pt>
                <c:pt idx="30">
                  <c:v>652.36199999999997</c:v>
                </c:pt>
                <c:pt idx="31">
                  <c:v>686.38333334000004</c:v>
                </c:pt>
                <c:pt idx="32">
                  <c:v>1118.6990000000001</c:v>
                </c:pt>
                <c:pt idx="33">
                  <c:v>1583.6916666699999</c:v>
                </c:pt>
                <c:pt idx="34">
                  <c:v>1062.6859999999999</c:v>
                </c:pt>
                <c:pt idx="35">
                  <c:v>1670.9349999999999</c:v>
                </c:pt>
                <c:pt idx="36">
                  <c:v>1462.8119999999999</c:v>
                </c:pt>
                <c:pt idx="37">
                  <c:v>709.91200000000003</c:v>
                </c:pt>
                <c:pt idx="38">
                  <c:v>612.5</c:v>
                </c:pt>
                <c:pt idx="39">
                  <c:v>588.20000000000005</c:v>
                </c:pt>
                <c:pt idx="40">
                  <c:v>547.93999999999994</c:v>
                </c:pt>
                <c:pt idx="41">
                  <c:v>496.1</c:v>
                </c:pt>
                <c:pt idx="42">
                  <c:v>479.35</c:v>
                </c:pt>
                <c:pt idx="43">
                  <c:v>549.29999999999995</c:v>
                </c:pt>
                <c:pt idx="44">
                  <c:v>863.75</c:v>
                </c:pt>
                <c:pt idx="45">
                  <c:v>1241.95</c:v>
                </c:pt>
                <c:pt idx="46">
                  <c:v>867.899</c:v>
                </c:pt>
                <c:pt idx="47">
                  <c:v>1064.08</c:v>
                </c:pt>
                <c:pt idx="48">
                  <c:v>1255.125</c:v>
                </c:pt>
                <c:pt idx="49">
                  <c:v>1255.374</c:v>
                </c:pt>
                <c:pt idx="50">
                  <c:v>999.12300000000005</c:v>
                </c:pt>
                <c:pt idx="51">
                  <c:v>821.48699999999997</c:v>
                </c:pt>
                <c:pt idx="52">
                  <c:v>644.64800000000002</c:v>
                </c:pt>
                <c:pt idx="53">
                  <c:v>584.34299999999996</c:v>
                </c:pt>
                <c:pt idx="54">
                  <c:v>679.35</c:v>
                </c:pt>
                <c:pt idx="55">
                  <c:v>733.83799999999997</c:v>
                </c:pt>
                <c:pt idx="56">
                  <c:v>1058.2619999999999</c:v>
                </c:pt>
                <c:pt idx="57">
                  <c:v>1129.2750000000001</c:v>
                </c:pt>
                <c:pt idx="58">
                  <c:v>995.15</c:v>
                </c:pt>
                <c:pt idx="59">
                  <c:v>1360.95</c:v>
                </c:pt>
                <c:pt idx="60">
                  <c:v>1822.7739999999999</c:v>
                </c:pt>
                <c:pt idx="61">
                  <c:v>1001.212</c:v>
                </c:pt>
                <c:pt idx="62">
                  <c:v>941.05000000000007</c:v>
                </c:pt>
                <c:pt idx="63">
                  <c:v>689.05</c:v>
                </c:pt>
                <c:pt idx="64">
                  <c:v>703.56200000000001</c:v>
                </c:pt>
                <c:pt idx="65">
                  <c:v>610</c:v>
                </c:pt>
                <c:pt idx="66">
                  <c:v>620.67499999999995</c:v>
                </c:pt>
                <c:pt idx="67">
                  <c:v>518.1</c:v>
                </c:pt>
                <c:pt idx="68">
                  <c:v>984.48</c:v>
                </c:pt>
              </c:numCache>
            </c:numRef>
          </c:val>
          <c:smooth val="0"/>
          <c:extLst>
            <c:ext xmlns:c16="http://schemas.microsoft.com/office/drawing/2014/chart" uri="{C3380CC4-5D6E-409C-BE32-E72D297353CC}">
              <c16:uniqueId val="{00000003-6976-4F91-B94A-A0D7DBD2E35E}"/>
            </c:ext>
          </c:extLst>
        </c:ser>
        <c:ser>
          <c:idx val="4"/>
          <c:order val="4"/>
          <c:tx>
            <c:strRef>
              <c:f>Mensuel!$F$1</c:f>
              <c:strCache>
                <c:ptCount val="1"/>
                <c:pt idx="0">
                  <c:v>N05B</c:v>
                </c:pt>
              </c:strCache>
            </c:strRef>
          </c:tx>
          <c:spPr>
            <a:ln w="19050"/>
          </c:spPr>
          <c:marker>
            <c:symbol val="none"/>
          </c:marker>
          <c:cat>
            <c:numRef>
              <c:f>Mensuel!$A$2:$A$70</c:f>
              <c:numCache>
                <c:formatCode>mmm\ yyyy</c:formatCode>
                <c:ptCount val="69"/>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numCache>
            </c:numRef>
          </c:cat>
          <c:val>
            <c:numRef>
              <c:f>Mensuel!$F$2:$F$70</c:f>
              <c:numCache>
                <c:formatCode>General</c:formatCode>
                <c:ptCount val="69"/>
                <c:pt idx="0">
                  <c:v>360</c:v>
                </c:pt>
                <c:pt idx="1">
                  <c:v>347</c:v>
                </c:pt>
                <c:pt idx="2">
                  <c:v>232</c:v>
                </c:pt>
                <c:pt idx="3">
                  <c:v>216</c:v>
                </c:pt>
                <c:pt idx="4">
                  <c:v>273</c:v>
                </c:pt>
                <c:pt idx="5">
                  <c:v>323</c:v>
                </c:pt>
                <c:pt idx="6">
                  <c:v>348</c:v>
                </c:pt>
                <c:pt idx="7">
                  <c:v>420</c:v>
                </c:pt>
                <c:pt idx="8">
                  <c:v>399</c:v>
                </c:pt>
                <c:pt idx="9">
                  <c:v>430</c:v>
                </c:pt>
                <c:pt idx="10">
                  <c:v>489</c:v>
                </c:pt>
                <c:pt idx="11">
                  <c:v>525</c:v>
                </c:pt>
                <c:pt idx="12">
                  <c:v>478</c:v>
                </c:pt>
                <c:pt idx="13">
                  <c:v>243</c:v>
                </c:pt>
                <c:pt idx="14">
                  <c:v>208</c:v>
                </c:pt>
                <c:pt idx="15">
                  <c:v>197</c:v>
                </c:pt>
                <c:pt idx="16">
                  <c:v>194</c:v>
                </c:pt>
                <c:pt idx="17">
                  <c:v>217</c:v>
                </c:pt>
                <c:pt idx="18">
                  <c:v>203</c:v>
                </c:pt>
                <c:pt idx="19">
                  <c:v>265.5</c:v>
                </c:pt>
                <c:pt idx="20">
                  <c:v>243.5</c:v>
                </c:pt>
                <c:pt idx="21">
                  <c:v>222</c:v>
                </c:pt>
                <c:pt idx="22">
                  <c:v>228</c:v>
                </c:pt>
                <c:pt idx="23">
                  <c:v>289</c:v>
                </c:pt>
                <c:pt idx="24">
                  <c:v>256</c:v>
                </c:pt>
                <c:pt idx="25">
                  <c:v>239</c:v>
                </c:pt>
                <c:pt idx="26">
                  <c:v>250</c:v>
                </c:pt>
                <c:pt idx="27">
                  <c:v>292</c:v>
                </c:pt>
                <c:pt idx="28">
                  <c:v>261</c:v>
                </c:pt>
                <c:pt idx="29">
                  <c:v>280.5</c:v>
                </c:pt>
                <c:pt idx="30">
                  <c:v>240</c:v>
                </c:pt>
                <c:pt idx="31">
                  <c:v>275.5</c:v>
                </c:pt>
                <c:pt idx="32">
                  <c:v>307</c:v>
                </c:pt>
                <c:pt idx="33">
                  <c:v>290.83333333000002</c:v>
                </c:pt>
                <c:pt idx="34">
                  <c:v>234.16666667000001</c:v>
                </c:pt>
                <c:pt idx="35">
                  <c:v>232.33333332999999</c:v>
                </c:pt>
                <c:pt idx="36">
                  <c:v>247</c:v>
                </c:pt>
                <c:pt idx="37">
                  <c:v>157.875</c:v>
                </c:pt>
                <c:pt idx="38">
                  <c:v>165</c:v>
                </c:pt>
                <c:pt idx="39">
                  <c:v>135</c:v>
                </c:pt>
                <c:pt idx="40">
                  <c:v>148</c:v>
                </c:pt>
                <c:pt idx="41">
                  <c:v>163</c:v>
                </c:pt>
                <c:pt idx="42">
                  <c:v>219</c:v>
                </c:pt>
                <c:pt idx="43">
                  <c:v>239</c:v>
                </c:pt>
                <c:pt idx="44">
                  <c:v>223</c:v>
                </c:pt>
                <c:pt idx="45">
                  <c:v>233</c:v>
                </c:pt>
                <c:pt idx="46">
                  <c:v>192</c:v>
                </c:pt>
                <c:pt idx="47">
                  <c:v>234</c:v>
                </c:pt>
                <c:pt idx="48">
                  <c:v>240</c:v>
                </c:pt>
                <c:pt idx="49">
                  <c:v>268</c:v>
                </c:pt>
                <c:pt idx="50">
                  <c:v>381</c:v>
                </c:pt>
                <c:pt idx="51">
                  <c:v>297</c:v>
                </c:pt>
                <c:pt idx="52">
                  <c:v>259</c:v>
                </c:pt>
                <c:pt idx="53">
                  <c:v>248</c:v>
                </c:pt>
                <c:pt idx="54">
                  <c:v>283</c:v>
                </c:pt>
                <c:pt idx="55">
                  <c:v>253</c:v>
                </c:pt>
                <c:pt idx="56">
                  <c:v>263</c:v>
                </c:pt>
                <c:pt idx="57">
                  <c:v>287</c:v>
                </c:pt>
                <c:pt idx="58">
                  <c:v>252.2</c:v>
                </c:pt>
                <c:pt idx="59">
                  <c:v>271</c:v>
                </c:pt>
                <c:pt idx="60">
                  <c:v>318.2</c:v>
                </c:pt>
                <c:pt idx="61">
                  <c:v>249.4</c:v>
                </c:pt>
                <c:pt idx="62">
                  <c:v>301.39999999999998</c:v>
                </c:pt>
                <c:pt idx="63">
                  <c:v>317.39999999999998</c:v>
                </c:pt>
                <c:pt idx="64">
                  <c:v>265.8</c:v>
                </c:pt>
                <c:pt idx="65">
                  <c:v>193</c:v>
                </c:pt>
                <c:pt idx="66">
                  <c:v>250.6</c:v>
                </c:pt>
                <c:pt idx="67">
                  <c:v>237</c:v>
                </c:pt>
                <c:pt idx="68">
                  <c:v>227.8</c:v>
                </c:pt>
              </c:numCache>
            </c:numRef>
          </c:val>
          <c:smooth val="0"/>
          <c:extLst>
            <c:ext xmlns:c16="http://schemas.microsoft.com/office/drawing/2014/chart" uri="{C3380CC4-5D6E-409C-BE32-E72D297353CC}">
              <c16:uniqueId val="{00000004-6976-4F91-B94A-A0D7DBD2E35E}"/>
            </c:ext>
          </c:extLst>
        </c:ser>
        <c:ser>
          <c:idx val="5"/>
          <c:order val="5"/>
          <c:tx>
            <c:strRef>
              <c:f>Mensuel!$G$1</c:f>
              <c:strCache>
                <c:ptCount val="1"/>
                <c:pt idx="0">
                  <c:v>N05C</c:v>
                </c:pt>
              </c:strCache>
            </c:strRef>
          </c:tx>
          <c:spPr>
            <a:ln w="19050"/>
          </c:spPr>
          <c:marker>
            <c:symbol val="none"/>
          </c:marker>
          <c:cat>
            <c:numRef>
              <c:f>Mensuel!$A$2:$A$70</c:f>
              <c:numCache>
                <c:formatCode>mmm\ yyyy</c:formatCode>
                <c:ptCount val="69"/>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numCache>
            </c:numRef>
          </c:cat>
          <c:val>
            <c:numRef>
              <c:f>Mensuel!$G$2:$G$70</c:f>
              <c:numCache>
                <c:formatCode>General</c:formatCode>
                <c:ptCount val="69"/>
                <c:pt idx="0">
                  <c:v>30</c:v>
                </c:pt>
                <c:pt idx="1">
                  <c:v>31</c:v>
                </c:pt>
                <c:pt idx="2">
                  <c:v>20</c:v>
                </c:pt>
                <c:pt idx="3">
                  <c:v>18</c:v>
                </c:pt>
                <c:pt idx="4">
                  <c:v>23</c:v>
                </c:pt>
                <c:pt idx="5">
                  <c:v>23</c:v>
                </c:pt>
                <c:pt idx="6">
                  <c:v>21</c:v>
                </c:pt>
                <c:pt idx="7">
                  <c:v>29</c:v>
                </c:pt>
                <c:pt idx="8">
                  <c:v>14</c:v>
                </c:pt>
                <c:pt idx="9">
                  <c:v>19</c:v>
                </c:pt>
                <c:pt idx="10">
                  <c:v>19</c:v>
                </c:pt>
                <c:pt idx="11">
                  <c:v>26</c:v>
                </c:pt>
                <c:pt idx="12">
                  <c:v>24</c:v>
                </c:pt>
                <c:pt idx="13">
                  <c:v>9</c:v>
                </c:pt>
                <c:pt idx="14">
                  <c:v>13</c:v>
                </c:pt>
                <c:pt idx="15">
                  <c:v>5</c:v>
                </c:pt>
                <c:pt idx="16">
                  <c:v>10</c:v>
                </c:pt>
                <c:pt idx="17">
                  <c:v>12</c:v>
                </c:pt>
                <c:pt idx="18">
                  <c:v>6</c:v>
                </c:pt>
                <c:pt idx="19">
                  <c:v>15</c:v>
                </c:pt>
                <c:pt idx="20">
                  <c:v>11</c:v>
                </c:pt>
                <c:pt idx="21">
                  <c:v>8</c:v>
                </c:pt>
                <c:pt idx="22">
                  <c:v>18</c:v>
                </c:pt>
                <c:pt idx="23">
                  <c:v>28</c:v>
                </c:pt>
                <c:pt idx="24">
                  <c:v>26</c:v>
                </c:pt>
                <c:pt idx="25">
                  <c:v>20</c:v>
                </c:pt>
                <c:pt idx="26">
                  <c:v>13</c:v>
                </c:pt>
                <c:pt idx="27">
                  <c:v>18</c:v>
                </c:pt>
                <c:pt idx="28">
                  <c:v>19</c:v>
                </c:pt>
                <c:pt idx="29">
                  <c:v>20</c:v>
                </c:pt>
                <c:pt idx="30">
                  <c:v>8</c:v>
                </c:pt>
                <c:pt idx="31">
                  <c:v>12</c:v>
                </c:pt>
                <c:pt idx="32">
                  <c:v>18</c:v>
                </c:pt>
                <c:pt idx="33">
                  <c:v>11</c:v>
                </c:pt>
                <c:pt idx="34">
                  <c:v>27</c:v>
                </c:pt>
                <c:pt idx="35">
                  <c:v>21</c:v>
                </c:pt>
                <c:pt idx="36">
                  <c:v>24</c:v>
                </c:pt>
                <c:pt idx="37">
                  <c:v>7</c:v>
                </c:pt>
                <c:pt idx="38">
                  <c:v>9</c:v>
                </c:pt>
                <c:pt idx="39">
                  <c:v>9</c:v>
                </c:pt>
                <c:pt idx="40">
                  <c:v>23</c:v>
                </c:pt>
                <c:pt idx="41">
                  <c:v>8</c:v>
                </c:pt>
                <c:pt idx="42">
                  <c:v>15</c:v>
                </c:pt>
                <c:pt idx="43">
                  <c:v>12</c:v>
                </c:pt>
                <c:pt idx="44">
                  <c:v>23</c:v>
                </c:pt>
                <c:pt idx="45">
                  <c:v>15</c:v>
                </c:pt>
                <c:pt idx="46">
                  <c:v>15</c:v>
                </c:pt>
                <c:pt idx="47">
                  <c:v>6</c:v>
                </c:pt>
                <c:pt idx="48">
                  <c:v>11</c:v>
                </c:pt>
                <c:pt idx="49">
                  <c:v>12</c:v>
                </c:pt>
                <c:pt idx="50">
                  <c:v>42</c:v>
                </c:pt>
                <c:pt idx="51">
                  <c:v>15</c:v>
                </c:pt>
                <c:pt idx="52">
                  <c:v>13</c:v>
                </c:pt>
                <c:pt idx="53">
                  <c:v>18</c:v>
                </c:pt>
                <c:pt idx="54">
                  <c:v>19</c:v>
                </c:pt>
                <c:pt idx="55">
                  <c:v>20</c:v>
                </c:pt>
                <c:pt idx="56">
                  <c:v>12</c:v>
                </c:pt>
                <c:pt idx="57">
                  <c:v>25</c:v>
                </c:pt>
                <c:pt idx="58">
                  <c:v>22</c:v>
                </c:pt>
                <c:pt idx="59">
                  <c:v>32</c:v>
                </c:pt>
                <c:pt idx="60">
                  <c:v>24</c:v>
                </c:pt>
                <c:pt idx="61">
                  <c:v>12</c:v>
                </c:pt>
                <c:pt idx="62">
                  <c:v>19</c:v>
                </c:pt>
                <c:pt idx="63">
                  <c:v>22</c:v>
                </c:pt>
                <c:pt idx="64">
                  <c:v>26</c:v>
                </c:pt>
                <c:pt idx="65">
                  <c:v>25</c:v>
                </c:pt>
                <c:pt idx="66">
                  <c:v>20</c:v>
                </c:pt>
                <c:pt idx="67">
                  <c:v>26</c:v>
                </c:pt>
                <c:pt idx="68">
                  <c:v>16</c:v>
                </c:pt>
              </c:numCache>
            </c:numRef>
          </c:val>
          <c:smooth val="0"/>
          <c:extLst>
            <c:ext xmlns:c16="http://schemas.microsoft.com/office/drawing/2014/chart" uri="{C3380CC4-5D6E-409C-BE32-E72D297353CC}">
              <c16:uniqueId val="{00000005-6976-4F91-B94A-A0D7DBD2E35E}"/>
            </c:ext>
          </c:extLst>
        </c:ser>
        <c:ser>
          <c:idx val="6"/>
          <c:order val="6"/>
          <c:tx>
            <c:strRef>
              <c:f>Mensuel!$H$1</c:f>
              <c:strCache>
                <c:ptCount val="1"/>
                <c:pt idx="0">
                  <c:v>R03</c:v>
                </c:pt>
              </c:strCache>
            </c:strRef>
          </c:tx>
          <c:spPr>
            <a:ln w="19050"/>
          </c:spPr>
          <c:marker>
            <c:symbol val="none"/>
          </c:marker>
          <c:cat>
            <c:numRef>
              <c:f>Mensuel!$A$2:$A$70</c:f>
              <c:numCache>
                <c:formatCode>mmm\ yyyy</c:formatCode>
                <c:ptCount val="69"/>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numCache>
            </c:numRef>
          </c:cat>
          <c:val>
            <c:numRef>
              <c:f>Mensuel!$H$2:$H$70</c:f>
              <c:numCache>
                <c:formatCode>General</c:formatCode>
                <c:ptCount val="69"/>
                <c:pt idx="0">
                  <c:v>115</c:v>
                </c:pt>
                <c:pt idx="1">
                  <c:v>122</c:v>
                </c:pt>
                <c:pt idx="2">
                  <c:v>112</c:v>
                </c:pt>
                <c:pt idx="3">
                  <c:v>97</c:v>
                </c:pt>
                <c:pt idx="4">
                  <c:v>108</c:v>
                </c:pt>
                <c:pt idx="5">
                  <c:v>57</c:v>
                </c:pt>
                <c:pt idx="6">
                  <c:v>61</c:v>
                </c:pt>
                <c:pt idx="7">
                  <c:v>37</c:v>
                </c:pt>
                <c:pt idx="8">
                  <c:v>115</c:v>
                </c:pt>
                <c:pt idx="9">
                  <c:v>157</c:v>
                </c:pt>
                <c:pt idx="10">
                  <c:v>112</c:v>
                </c:pt>
                <c:pt idx="11">
                  <c:v>163</c:v>
                </c:pt>
                <c:pt idx="12">
                  <c:v>216.25</c:v>
                </c:pt>
                <c:pt idx="13">
                  <c:v>208</c:v>
                </c:pt>
                <c:pt idx="14">
                  <c:v>170</c:v>
                </c:pt>
                <c:pt idx="15">
                  <c:v>97</c:v>
                </c:pt>
                <c:pt idx="16">
                  <c:v>100</c:v>
                </c:pt>
                <c:pt idx="17">
                  <c:v>193</c:v>
                </c:pt>
                <c:pt idx="18">
                  <c:v>60</c:v>
                </c:pt>
                <c:pt idx="19">
                  <c:v>45</c:v>
                </c:pt>
                <c:pt idx="20">
                  <c:v>91</c:v>
                </c:pt>
                <c:pt idx="21">
                  <c:v>184</c:v>
                </c:pt>
                <c:pt idx="22">
                  <c:v>165</c:v>
                </c:pt>
                <c:pt idx="23">
                  <c:v>243</c:v>
                </c:pt>
                <c:pt idx="24">
                  <c:v>180</c:v>
                </c:pt>
                <c:pt idx="25">
                  <c:v>245</c:v>
                </c:pt>
                <c:pt idx="26">
                  <c:v>253</c:v>
                </c:pt>
                <c:pt idx="27">
                  <c:v>216</c:v>
                </c:pt>
                <c:pt idx="28">
                  <c:v>135</c:v>
                </c:pt>
                <c:pt idx="29">
                  <c:v>127</c:v>
                </c:pt>
                <c:pt idx="30">
                  <c:v>109</c:v>
                </c:pt>
                <c:pt idx="31">
                  <c:v>116</c:v>
                </c:pt>
                <c:pt idx="32">
                  <c:v>121</c:v>
                </c:pt>
                <c:pt idx="33">
                  <c:v>220</c:v>
                </c:pt>
                <c:pt idx="34">
                  <c:v>150</c:v>
                </c:pt>
                <c:pt idx="35">
                  <c:v>281</c:v>
                </c:pt>
                <c:pt idx="36">
                  <c:v>198</c:v>
                </c:pt>
                <c:pt idx="37">
                  <c:v>126</c:v>
                </c:pt>
                <c:pt idx="38">
                  <c:v>109</c:v>
                </c:pt>
                <c:pt idx="39">
                  <c:v>187.875</c:v>
                </c:pt>
                <c:pt idx="40">
                  <c:v>128</c:v>
                </c:pt>
                <c:pt idx="41">
                  <c:v>163</c:v>
                </c:pt>
                <c:pt idx="42">
                  <c:v>115</c:v>
                </c:pt>
                <c:pt idx="43">
                  <c:v>75</c:v>
                </c:pt>
                <c:pt idx="44">
                  <c:v>139</c:v>
                </c:pt>
                <c:pt idx="45">
                  <c:v>252</c:v>
                </c:pt>
                <c:pt idx="46">
                  <c:v>196</c:v>
                </c:pt>
                <c:pt idx="47">
                  <c:v>209</c:v>
                </c:pt>
                <c:pt idx="48">
                  <c:v>222</c:v>
                </c:pt>
                <c:pt idx="49">
                  <c:v>224.25</c:v>
                </c:pt>
                <c:pt idx="50">
                  <c:v>269</c:v>
                </c:pt>
                <c:pt idx="51">
                  <c:v>229</c:v>
                </c:pt>
                <c:pt idx="52">
                  <c:v>167</c:v>
                </c:pt>
                <c:pt idx="53">
                  <c:v>101</c:v>
                </c:pt>
                <c:pt idx="54">
                  <c:v>90</c:v>
                </c:pt>
                <c:pt idx="55">
                  <c:v>159</c:v>
                </c:pt>
                <c:pt idx="56">
                  <c:v>205</c:v>
                </c:pt>
                <c:pt idx="57">
                  <c:v>327</c:v>
                </c:pt>
                <c:pt idx="58">
                  <c:v>311</c:v>
                </c:pt>
                <c:pt idx="59">
                  <c:v>402</c:v>
                </c:pt>
                <c:pt idx="60">
                  <c:v>392</c:v>
                </c:pt>
                <c:pt idx="61">
                  <c:v>226</c:v>
                </c:pt>
                <c:pt idx="62">
                  <c:v>257</c:v>
                </c:pt>
                <c:pt idx="63">
                  <c:v>226</c:v>
                </c:pt>
                <c:pt idx="64">
                  <c:v>298.29166666999998</c:v>
                </c:pt>
                <c:pt idx="65">
                  <c:v>142</c:v>
                </c:pt>
                <c:pt idx="66">
                  <c:v>115</c:v>
                </c:pt>
                <c:pt idx="67">
                  <c:v>145</c:v>
                </c:pt>
                <c:pt idx="68">
                  <c:v>121.416666667</c:v>
                </c:pt>
              </c:numCache>
            </c:numRef>
          </c:val>
          <c:smooth val="0"/>
          <c:extLst>
            <c:ext xmlns:c16="http://schemas.microsoft.com/office/drawing/2014/chart" uri="{C3380CC4-5D6E-409C-BE32-E72D297353CC}">
              <c16:uniqueId val="{00000006-6976-4F91-B94A-A0D7DBD2E35E}"/>
            </c:ext>
          </c:extLst>
        </c:ser>
        <c:ser>
          <c:idx val="7"/>
          <c:order val="7"/>
          <c:tx>
            <c:strRef>
              <c:f>Mensuel!$I$1</c:f>
              <c:strCache>
                <c:ptCount val="1"/>
                <c:pt idx="0">
                  <c:v>R06</c:v>
                </c:pt>
              </c:strCache>
            </c:strRef>
          </c:tx>
          <c:spPr>
            <a:ln w="19050"/>
          </c:spPr>
          <c:marker>
            <c:symbol val="none"/>
          </c:marker>
          <c:cat>
            <c:numRef>
              <c:f>Mensuel!$A$2:$A$70</c:f>
              <c:numCache>
                <c:formatCode>mmm\ yyyy</c:formatCode>
                <c:ptCount val="69"/>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numCache>
            </c:numRef>
          </c:cat>
          <c:val>
            <c:numRef>
              <c:f>Mensuel!$I$2:$I$70</c:f>
              <c:numCache>
                <c:formatCode>General</c:formatCode>
                <c:ptCount val="69"/>
                <c:pt idx="0">
                  <c:v>52.2</c:v>
                </c:pt>
                <c:pt idx="1">
                  <c:v>36.200000000000003</c:v>
                </c:pt>
                <c:pt idx="2">
                  <c:v>85.4</c:v>
                </c:pt>
                <c:pt idx="3">
                  <c:v>77.7</c:v>
                </c:pt>
                <c:pt idx="4">
                  <c:v>127.7</c:v>
                </c:pt>
                <c:pt idx="5">
                  <c:v>109.3</c:v>
                </c:pt>
                <c:pt idx="6">
                  <c:v>69.099999999999994</c:v>
                </c:pt>
                <c:pt idx="7">
                  <c:v>70.8</c:v>
                </c:pt>
                <c:pt idx="8">
                  <c:v>58.8</c:v>
                </c:pt>
                <c:pt idx="9">
                  <c:v>46.8</c:v>
                </c:pt>
                <c:pt idx="10">
                  <c:v>45.2</c:v>
                </c:pt>
                <c:pt idx="11">
                  <c:v>35.4</c:v>
                </c:pt>
                <c:pt idx="12">
                  <c:v>46.3</c:v>
                </c:pt>
                <c:pt idx="13">
                  <c:v>47</c:v>
                </c:pt>
                <c:pt idx="14">
                  <c:v>54</c:v>
                </c:pt>
                <c:pt idx="15">
                  <c:v>124.4</c:v>
                </c:pt>
                <c:pt idx="16">
                  <c:v>159.5</c:v>
                </c:pt>
                <c:pt idx="17">
                  <c:v>125.8</c:v>
                </c:pt>
                <c:pt idx="18">
                  <c:v>130.30000000000001</c:v>
                </c:pt>
                <c:pt idx="19">
                  <c:v>83.7</c:v>
                </c:pt>
                <c:pt idx="20">
                  <c:v>71</c:v>
                </c:pt>
                <c:pt idx="21">
                  <c:v>72</c:v>
                </c:pt>
                <c:pt idx="22">
                  <c:v>44</c:v>
                </c:pt>
                <c:pt idx="23">
                  <c:v>42.73</c:v>
                </c:pt>
                <c:pt idx="24">
                  <c:v>58.5</c:v>
                </c:pt>
                <c:pt idx="25">
                  <c:v>58</c:v>
                </c:pt>
                <c:pt idx="26">
                  <c:v>97.84</c:v>
                </c:pt>
                <c:pt idx="27">
                  <c:v>162.4</c:v>
                </c:pt>
                <c:pt idx="28">
                  <c:v>142.1</c:v>
                </c:pt>
                <c:pt idx="29">
                  <c:v>134.80000000000001</c:v>
                </c:pt>
                <c:pt idx="30">
                  <c:v>116.83</c:v>
                </c:pt>
                <c:pt idx="31">
                  <c:v>85.3</c:v>
                </c:pt>
                <c:pt idx="32">
                  <c:v>69.3</c:v>
                </c:pt>
                <c:pt idx="33">
                  <c:v>60.9</c:v>
                </c:pt>
                <c:pt idx="34">
                  <c:v>51.2</c:v>
                </c:pt>
                <c:pt idx="35">
                  <c:v>38.9</c:v>
                </c:pt>
                <c:pt idx="36">
                  <c:v>42.1</c:v>
                </c:pt>
                <c:pt idx="37">
                  <c:v>34.6</c:v>
                </c:pt>
                <c:pt idx="38">
                  <c:v>100.1</c:v>
                </c:pt>
                <c:pt idx="39">
                  <c:v>127.4</c:v>
                </c:pt>
                <c:pt idx="40">
                  <c:v>161.81</c:v>
                </c:pt>
                <c:pt idx="41">
                  <c:v>151.9</c:v>
                </c:pt>
                <c:pt idx="42">
                  <c:v>81.099999999999994</c:v>
                </c:pt>
                <c:pt idx="43">
                  <c:v>60.1</c:v>
                </c:pt>
                <c:pt idx="44">
                  <c:v>66.900000000000006</c:v>
                </c:pt>
                <c:pt idx="45">
                  <c:v>52</c:v>
                </c:pt>
                <c:pt idx="46">
                  <c:v>46.6</c:v>
                </c:pt>
                <c:pt idx="47">
                  <c:v>49.1</c:v>
                </c:pt>
                <c:pt idx="48">
                  <c:v>54</c:v>
                </c:pt>
                <c:pt idx="49">
                  <c:v>39.06</c:v>
                </c:pt>
                <c:pt idx="50">
                  <c:v>85.5</c:v>
                </c:pt>
                <c:pt idx="51">
                  <c:v>201.1</c:v>
                </c:pt>
                <c:pt idx="52">
                  <c:v>213.04</c:v>
                </c:pt>
                <c:pt idx="53">
                  <c:v>120.8</c:v>
                </c:pt>
                <c:pt idx="54">
                  <c:v>122.2</c:v>
                </c:pt>
                <c:pt idx="55">
                  <c:v>103.1</c:v>
                </c:pt>
                <c:pt idx="56">
                  <c:v>88.1</c:v>
                </c:pt>
                <c:pt idx="57">
                  <c:v>76.900000000000006</c:v>
                </c:pt>
                <c:pt idx="58">
                  <c:v>48.4</c:v>
                </c:pt>
                <c:pt idx="59">
                  <c:v>60.1</c:v>
                </c:pt>
                <c:pt idx="60">
                  <c:v>43.3</c:v>
                </c:pt>
                <c:pt idx="61">
                  <c:v>69.5</c:v>
                </c:pt>
                <c:pt idx="62">
                  <c:v>169.5</c:v>
                </c:pt>
                <c:pt idx="63">
                  <c:v>190.6</c:v>
                </c:pt>
                <c:pt idx="64">
                  <c:v>135.4</c:v>
                </c:pt>
                <c:pt idx="65">
                  <c:v>156.04</c:v>
                </c:pt>
                <c:pt idx="66">
                  <c:v>105.2</c:v>
                </c:pt>
                <c:pt idx="67">
                  <c:v>97.3</c:v>
                </c:pt>
                <c:pt idx="68">
                  <c:v>109.1</c:v>
                </c:pt>
              </c:numCache>
            </c:numRef>
          </c:val>
          <c:smooth val="0"/>
          <c:extLst>
            <c:ext xmlns:c16="http://schemas.microsoft.com/office/drawing/2014/chart" uri="{C3380CC4-5D6E-409C-BE32-E72D297353CC}">
              <c16:uniqueId val="{00000007-6976-4F91-B94A-A0D7DBD2E35E}"/>
            </c:ext>
          </c:extLst>
        </c:ser>
        <c:dLbls>
          <c:showLegendKey val="0"/>
          <c:showVal val="0"/>
          <c:showCatName val="0"/>
          <c:showSerName val="0"/>
          <c:showPercent val="0"/>
          <c:showBubbleSize val="0"/>
        </c:dLbls>
        <c:smooth val="0"/>
        <c:axId val="50010001"/>
        <c:axId val="50010002"/>
      </c:lineChart>
      <c:dateAx>
        <c:axId val="50010001"/>
        <c:scaling>
          <c:orientation val="minMax"/>
        </c:scaling>
        <c:delete val="0"/>
        <c:axPos val="b"/>
        <c:numFmt formatCode="yyyy" sourceLinked="0"/>
        <c:majorTickMark val="out"/>
        <c:minorTickMark val="none"/>
        <c:tickLblPos val="nextTo"/>
        <c:crossAx val="50010002"/>
        <c:crosses val="autoZero"/>
        <c:auto val="1"/>
        <c:lblOffset val="100"/>
        <c:baseTimeUnit val="months"/>
        <c:majorUnit val="1"/>
        <c:majorTimeUnit val="years"/>
      </c:dateAx>
      <c:valAx>
        <c:axId val="50010002"/>
        <c:scaling>
          <c:orientation val="minMax"/>
        </c:scaling>
        <c:delete val="0"/>
        <c:axPos val="l"/>
        <c:majorGridlines/>
        <c:numFmt formatCode="General" sourceLinked="1"/>
        <c:majorTickMark val="out"/>
        <c:minorTickMark val="none"/>
        <c:tickLblPos val="nextTo"/>
        <c:crossAx val="5001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aseline="0"/>
            </a:pPr>
            <a:r>
              <a:rPr lang="en-US" sz="1200" baseline="0"/>
              <a:t>Total par groupe sur la période</a:t>
            </a:r>
          </a:p>
        </c:rich>
      </c:tx>
      <c:overlay val="0"/>
    </c:title>
    <c:autoTitleDeleted val="0"/>
    <c:plotArea>
      <c:layout/>
      <c:barChart>
        <c:barDir val="bar"/>
        <c:grouping val="clustered"/>
        <c:varyColors val="0"/>
        <c:ser>
          <c:idx val="0"/>
          <c:order val="0"/>
          <c:tx>
            <c:v>Total sur la période</c:v>
          </c:tx>
          <c:spPr>
            <a:solidFill>
              <a:srgbClr val="2E75B6"/>
            </a:solidFill>
          </c:spPr>
          <c:invertIfNegative val="0"/>
          <c:cat>
            <c:strRef>
              <c:f>Outil!$C$11:$C$18</c:f>
              <c:strCache>
                <c:ptCount val="8"/>
                <c:pt idx="0">
                  <c:v>Anti-inflammatoires (type diclofénac)</c:v>
                </c:pt>
                <c:pt idx="1">
                  <c:v>Anti-inflammatoires (type ibuprofène)</c:v>
                </c:pt>
                <c:pt idx="2">
                  <c:v>Antalgiques salicylés (type aspirine)</c:v>
                </c:pt>
                <c:pt idx="3">
                  <c:v>Antalgiques (type paracétamol)</c:v>
                </c:pt>
                <c:pt idx="4">
                  <c:v>Anxiolytiques</c:v>
                </c:pt>
                <c:pt idx="5">
                  <c:v>Hypnotiques et sédatifs</c:v>
                </c:pt>
                <c:pt idx="6">
                  <c:v>Asthme et BPCO</c:v>
                </c:pt>
                <c:pt idx="7">
                  <c:v>Antihistaminiques</c:v>
                </c:pt>
              </c:strCache>
            </c:strRef>
          </c:cat>
          <c:val>
            <c:numRef>
              <c:f>Outil!$E$11:$E$18</c:f>
              <c:numCache>
                <c:formatCode>#\ ##0.0</c:formatCode>
                <c:ptCount val="8"/>
                <c:pt idx="0">
                  <c:v>161.06999999999996</c:v>
                </c:pt>
                <c:pt idx="1">
                  <c:v>111.43700000000001</c:v>
                </c:pt>
                <c:pt idx="2">
                  <c:v>93.5</c:v>
                </c:pt>
                <c:pt idx="3">
                  <c:v>984.4799999999999</c:v>
                </c:pt>
                <c:pt idx="4">
                  <c:v>227.79999999999998</c:v>
                </c:pt>
                <c:pt idx="5">
                  <c:v>16</c:v>
                </c:pt>
                <c:pt idx="6">
                  <c:v>121.416666667</c:v>
                </c:pt>
                <c:pt idx="7">
                  <c:v>109.1</c:v>
                </c:pt>
              </c:numCache>
            </c:numRef>
          </c:val>
          <c:extLst>
            <c:ext xmlns:c16="http://schemas.microsoft.com/office/drawing/2014/chart" uri="{C3380CC4-5D6E-409C-BE32-E72D297353CC}">
              <c16:uniqueId val="{00000000-8850-43F7-85A1-550BEBAC1A5A}"/>
            </c:ext>
          </c:extLst>
        </c:ser>
        <c:dLbls>
          <c:showLegendKey val="0"/>
          <c:showVal val="0"/>
          <c:showCatName val="0"/>
          <c:showSerName val="0"/>
          <c:showPercent val="0"/>
          <c:showBubbleSize val="0"/>
        </c:dLbls>
        <c:gapWidth val="150"/>
        <c:axId val="50020001"/>
        <c:axId val="50020002"/>
      </c:barChart>
      <c:catAx>
        <c:axId val="50020001"/>
        <c:scaling>
          <c:orientation val="maxMin"/>
        </c:scaling>
        <c:delete val="0"/>
        <c:axPos val="l"/>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scaling>
        <c:delete val="0"/>
        <c:axPos val="t"/>
        <c:majorGridlines/>
        <c:numFmt formatCode="#\ ##0.0" sourceLinked="1"/>
        <c:majorTickMark val="out"/>
        <c:minorTickMark val="none"/>
        <c:tickLblPos val="nextTo"/>
        <c:crossAx val="5002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aseline="0"/>
            </a:pPr>
            <a:r>
              <a:rPr lang="en-US" sz="1200" baseline="0"/>
              <a:t>Évolution mois par mois sur la période</a:t>
            </a:r>
          </a:p>
        </c:rich>
      </c:tx>
      <c:overlay val="0"/>
    </c:title>
    <c:autoTitleDeleted val="0"/>
    <c:plotArea>
      <c:layout/>
      <c:barChart>
        <c:barDir val="col"/>
        <c:grouping val="clustered"/>
        <c:varyColors val="0"/>
        <c:ser>
          <c:idx val="0"/>
          <c:order val="0"/>
          <c:tx>
            <c:v>Ventes des groupes affichés</c:v>
          </c:tx>
          <c:spPr>
            <a:solidFill>
              <a:srgbClr val="2E75B6"/>
            </a:solidFill>
          </c:spPr>
          <c:invertIfNegative val="0"/>
          <c:val>
            <c:numRef>
              <c:f>Outil!$AB$11:$AB$80</c:f>
            </c:numRef>
          </c:val>
          <c:extLst>
            <c:ext xmlns:c15="http://schemas.microsoft.com/office/drawing/2012/chart" uri="{02D57815-91ED-43cb-92C2-25804820EDAC}">
              <c15:filteredCategoryTitle>
                <c15:cat>
                  <c:numRef>
                    <c:extLst>
                      <c:ext uri="{02D57815-91ED-43cb-92C2-25804820EDAC}">
                        <c15:formulaRef>
                          <c15:sqref>Outil!$AA$11:$AA$80</c15:sqref>
                        </c15:formulaRef>
                      </c:ext>
                    </c:extLst>
                  </c:numRef>
                </c15:cat>
              </c15:filteredCategoryTitle>
            </c:ext>
            <c:ext xmlns:c16="http://schemas.microsoft.com/office/drawing/2014/chart" uri="{C3380CC4-5D6E-409C-BE32-E72D297353CC}">
              <c16:uniqueId val="{00000000-B275-4A4A-A004-A8A5800F9F72}"/>
            </c:ext>
          </c:extLst>
        </c:ser>
        <c:dLbls>
          <c:showLegendKey val="0"/>
          <c:showVal val="0"/>
          <c:showCatName val="0"/>
          <c:showSerName val="0"/>
          <c:showPercent val="0"/>
          <c:showBubbleSize val="0"/>
        </c:dLbls>
        <c:gapWidth val="150"/>
        <c:axId val="50030001"/>
        <c:axId val="50030002"/>
      </c:barChart>
      <c:catAx>
        <c:axId val="50030001"/>
        <c:scaling>
          <c:orientation val="minMax"/>
        </c:scaling>
        <c:delete val="0"/>
        <c:axPos val="b"/>
        <c:numFmt formatCode="mmm\ yy" sourceLinked="0"/>
        <c:majorTickMark val="out"/>
        <c:minorTickMark val="none"/>
        <c:tickLblPos val="nextTo"/>
        <c:crossAx val="50030002"/>
        <c:crosses val="autoZero"/>
        <c:auto val="1"/>
        <c:lblAlgn val="ctr"/>
        <c:lblOffset val="100"/>
        <c:tickLblSkip val="6"/>
        <c:noMultiLvlLbl val="0"/>
      </c:catAx>
      <c:valAx>
        <c:axId val="50030002"/>
        <c:scaling>
          <c:orientation val="minMax"/>
        </c:scaling>
        <c:delete val="0"/>
        <c:axPos val="l"/>
        <c:majorGridlines/>
        <c:numFmt formatCode="General" sourceLinked="1"/>
        <c:majorTickMark val="out"/>
        <c:minorTickMark val="none"/>
        <c:tickLblPos val="nextTo"/>
        <c:crossAx val="5003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aseline="0"/>
            </a:pPr>
            <a:r>
              <a:rPr lang="en-US" sz="1200" baseline="0"/>
              <a:t>Erreur de la meilleure méthode de chaque famille (plus bas = mieux)</a:t>
            </a:r>
          </a:p>
        </c:rich>
      </c:tx>
      <c:overlay val="0"/>
    </c:title>
    <c:autoTitleDeleted val="0"/>
    <c:plotArea>
      <c:layout/>
      <c:barChart>
        <c:barDir val="col"/>
        <c:grouping val="clustered"/>
        <c:varyColors val="0"/>
        <c:ser>
          <c:idx val="0"/>
          <c:order val="0"/>
          <c:tx>
            <c:v>Meilleure régression</c:v>
          </c:tx>
          <c:spPr>
            <a:solidFill>
              <a:srgbClr val="1F3864"/>
            </a:solidFill>
          </c:spPr>
          <c:invertIfNegative val="0"/>
          <c:cat>
            <c:strRef>
              <c:f>Prevision!$C$18:$C$25</c:f>
              <c:strCache>
                <c:ptCount val="8"/>
                <c:pt idx="0">
                  <c:v>M01AB</c:v>
                </c:pt>
                <c:pt idx="1">
                  <c:v>M01AE</c:v>
                </c:pt>
                <c:pt idx="2">
                  <c:v>N02BA</c:v>
                </c:pt>
                <c:pt idx="3">
                  <c:v>N02BE</c:v>
                </c:pt>
                <c:pt idx="4">
                  <c:v>N05B</c:v>
                </c:pt>
                <c:pt idx="5">
                  <c:v>N05C</c:v>
                </c:pt>
                <c:pt idx="6">
                  <c:v>R03</c:v>
                </c:pt>
                <c:pt idx="7">
                  <c:v>R06</c:v>
                </c:pt>
              </c:strCache>
            </c:strRef>
          </c:cat>
          <c:val>
            <c:numRef>
              <c:f>Prevision!$E$18:$E$25</c:f>
              <c:numCache>
                <c:formatCode>0.0%</c:formatCode>
                <c:ptCount val="8"/>
                <c:pt idx="0">
                  <c:v>8.5043545990733688E-2</c:v>
                </c:pt>
                <c:pt idx="1">
                  <c:v>0.1255740975210507</c:v>
                </c:pt>
                <c:pt idx="2">
                  <c:v>0.1170635640512388</c:v>
                </c:pt>
                <c:pt idx="3">
                  <c:v>0.1211971727115085</c:v>
                </c:pt>
                <c:pt idx="4">
                  <c:v>0.2044685556537941</c:v>
                </c:pt>
                <c:pt idx="5">
                  <c:v>0.307288611832576</c:v>
                </c:pt>
                <c:pt idx="6">
                  <c:v>0.23228208186815291</c:v>
                </c:pt>
                <c:pt idx="7">
                  <c:v>0.1989537235620823</c:v>
                </c:pt>
              </c:numCache>
            </c:numRef>
          </c:val>
          <c:extLst>
            <c:ext xmlns:c16="http://schemas.microsoft.com/office/drawing/2014/chart" uri="{C3380CC4-5D6E-409C-BE32-E72D297353CC}">
              <c16:uniqueId val="{00000000-AA10-431D-8B50-BBA7818E972F}"/>
            </c:ext>
          </c:extLst>
        </c:ser>
        <c:ser>
          <c:idx val="1"/>
          <c:order val="1"/>
          <c:tx>
            <c:v>Meilleur lissage</c:v>
          </c:tx>
          <c:spPr>
            <a:solidFill>
              <a:srgbClr val="F4B183"/>
            </a:solidFill>
          </c:spPr>
          <c:invertIfNegative val="0"/>
          <c:cat>
            <c:strRef>
              <c:f>Prevision!$C$18:$C$25</c:f>
              <c:strCache>
                <c:ptCount val="8"/>
                <c:pt idx="0">
                  <c:v>M01AB</c:v>
                </c:pt>
                <c:pt idx="1">
                  <c:v>M01AE</c:v>
                </c:pt>
                <c:pt idx="2">
                  <c:v>N02BA</c:v>
                </c:pt>
                <c:pt idx="3">
                  <c:v>N02BE</c:v>
                </c:pt>
                <c:pt idx="4">
                  <c:v>N05B</c:v>
                </c:pt>
                <c:pt idx="5">
                  <c:v>N05C</c:v>
                </c:pt>
                <c:pt idx="6">
                  <c:v>R03</c:v>
                </c:pt>
                <c:pt idx="7">
                  <c:v>R06</c:v>
                </c:pt>
              </c:strCache>
            </c:strRef>
          </c:cat>
          <c:val>
            <c:numRef>
              <c:f>Prevision!$G$18:$G$25</c:f>
              <c:numCache>
                <c:formatCode>0.0%</c:formatCode>
                <c:ptCount val="8"/>
                <c:pt idx="0">
                  <c:v>7.7427846180540202E-2</c:v>
                </c:pt>
                <c:pt idx="1">
                  <c:v>0.1325914544234007</c:v>
                </c:pt>
                <c:pt idx="2">
                  <c:v>0.1076859766810444</c:v>
                </c:pt>
                <c:pt idx="3">
                  <c:v>0.14611828380625561</c:v>
                </c:pt>
                <c:pt idx="4">
                  <c:v>0.1250300605453277</c:v>
                </c:pt>
                <c:pt idx="5">
                  <c:v>0.26844665607153012</c:v>
                </c:pt>
                <c:pt idx="6">
                  <c:v>0.2376120705059945</c:v>
                </c:pt>
                <c:pt idx="7">
                  <c:v>0.20225410256363541</c:v>
                </c:pt>
              </c:numCache>
            </c:numRef>
          </c:val>
          <c:extLst>
            <c:ext xmlns:c16="http://schemas.microsoft.com/office/drawing/2014/chart" uri="{C3380CC4-5D6E-409C-BE32-E72D297353CC}">
              <c16:uniqueId val="{00000001-AA10-431D-8B50-BBA7818E972F}"/>
            </c:ext>
          </c:extLst>
        </c:ser>
        <c:ser>
          <c:idx val="2"/>
          <c:order val="2"/>
          <c:tx>
            <c:v>Meilleure naïve</c:v>
          </c:tx>
          <c:spPr>
            <a:solidFill>
              <a:srgbClr val="BFBFBF"/>
            </a:solidFill>
          </c:spPr>
          <c:invertIfNegative val="0"/>
          <c:cat>
            <c:strRef>
              <c:f>Prevision!$C$18:$C$25</c:f>
              <c:strCache>
                <c:ptCount val="8"/>
                <c:pt idx="0">
                  <c:v>M01AB</c:v>
                </c:pt>
                <c:pt idx="1">
                  <c:v>M01AE</c:v>
                </c:pt>
                <c:pt idx="2">
                  <c:v>N02BA</c:v>
                </c:pt>
                <c:pt idx="3">
                  <c:v>N02BE</c:v>
                </c:pt>
                <c:pt idx="4">
                  <c:v>N05B</c:v>
                </c:pt>
                <c:pt idx="5">
                  <c:v>N05C</c:v>
                </c:pt>
                <c:pt idx="6">
                  <c:v>R03</c:v>
                </c:pt>
                <c:pt idx="7">
                  <c:v>R06</c:v>
                </c:pt>
              </c:strCache>
            </c:strRef>
          </c:cat>
          <c:val>
            <c:numRef>
              <c:f>Prevision!$I$18:$I$25</c:f>
              <c:numCache>
                <c:formatCode>0.0%</c:formatCode>
                <c:ptCount val="8"/>
                <c:pt idx="0">
                  <c:v>0.10039915249529829</c:v>
                </c:pt>
                <c:pt idx="1">
                  <c:v>0.142621072226227</c:v>
                </c:pt>
                <c:pt idx="2">
                  <c:v>0.10276063795717059</c:v>
                </c:pt>
                <c:pt idx="3">
                  <c:v>0.22756714634738121</c:v>
                </c:pt>
                <c:pt idx="4">
                  <c:v>0.14464234869815559</c:v>
                </c:pt>
                <c:pt idx="5">
                  <c:v>0.38329764453961462</c:v>
                </c:pt>
                <c:pt idx="6">
                  <c:v>0.24823628638870401</c:v>
                </c:pt>
                <c:pt idx="7">
                  <c:v>0.26519947125134452</c:v>
                </c:pt>
              </c:numCache>
            </c:numRef>
          </c:val>
          <c:extLst>
            <c:ext xmlns:c16="http://schemas.microsoft.com/office/drawing/2014/chart" uri="{C3380CC4-5D6E-409C-BE32-E72D297353CC}">
              <c16:uniqueId val="{00000002-AA10-431D-8B50-BBA7818E972F}"/>
            </c:ext>
          </c:extLst>
        </c:ser>
        <c:dLbls>
          <c:showLegendKey val="0"/>
          <c:showVal val="0"/>
          <c:showCatName val="0"/>
          <c:showSerName val="0"/>
          <c:showPercent val="0"/>
          <c:showBubbleSize val="0"/>
        </c:dLbls>
        <c:gapWidth val="150"/>
        <c:axId val="50040001"/>
        <c:axId val="50040002"/>
      </c:barChart>
      <c:catAx>
        <c:axId val="50040001"/>
        <c:scaling>
          <c:orientation val="minMax"/>
        </c:scaling>
        <c:delete val="0"/>
        <c:axPos val="b"/>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scaling>
        <c:delete val="0"/>
        <c:axPos val="l"/>
        <c:majorGridlines/>
        <c:numFmt formatCode="0%" sourceLinked="0"/>
        <c:majorTickMark val="out"/>
        <c:minorTickMark val="none"/>
        <c:tickLblPos val="nextTo"/>
        <c:crossAx val="5004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Anti-inflammatoires (type diclofénac) (M01AB)</a:t>
            </a:r>
          </a:p>
        </c:rich>
      </c:tx>
      <c:overlay val="0"/>
    </c:title>
    <c:autoTitleDeleted val="0"/>
    <c:plotArea>
      <c:layout/>
      <c:lineChart>
        <c:grouping val="standard"/>
        <c:varyColors val="0"/>
        <c:ser>
          <c:idx val="0"/>
          <c:order val="0"/>
          <c:tx>
            <c:v>Réel</c:v>
          </c:tx>
          <c:spPr>
            <a:ln w="28575">
              <a:solidFill>
                <a:srgbClr val="000000"/>
              </a:solidFill>
            </a:ln>
          </c:spPr>
          <c:marker>
            <c:symbol val="none"/>
          </c:marker>
          <c:cat>
            <c:numRef>
              <c:f>Backtest!$A$2:$A$25</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Backtest!$C$2:$C$25</c:f>
              <c:numCache>
                <c:formatCode>#\ ##0.0</c:formatCode>
                <c:ptCount val="24"/>
                <c:pt idx="0">
                  <c:v>140.97</c:v>
                </c:pt>
                <c:pt idx="1">
                  <c:v>163.85</c:v>
                </c:pt>
                <c:pt idx="2">
                  <c:v>162.51</c:v>
                </c:pt>
                <c:pt idx="3">
                  <c:v>151.44</c:v>
                </c:pt>
                <c:pt idx="4">
                  <c:v>128.36000000000001</c:v>
                </c:pt>
                <c:pt idx="5">
                  <c:v>146.16</c:v>
                </c:pt>
                <c:pt idx="6">
                  <c:v>171.02</c:v>
                </c:pt>
                <c:pt idx="7">
                  <c:v>160.52000000000001</c:v>
                </c:pt>
                <c:pt idx="8">
                  <c:v>141.18</c:v>
                </c:pt>
                <c:pt idx="9">
                  <c:v>150.18</c:v>
                </c:pt>
                <c:pt idx="10">
                  <c:v>140</c:v>
                </c:pt>
                <c:pt idx="11">
                  <c:v>153.52000000000001</c:v>
                </c:pt>
                <c:pt idx="12">
                  <c:v>144.71</c:v>
                </c:pt>
                <c:pt idx="13">
                  <c:v>172.29</c:v>
                </c:pt>
                <c:pt idx="14">
                  <c:v>167.88</c:v>
                </c:pt>
                <c:pt idx="15">
                  <c:v>184.71</c:v>
                </c:pt>
                <c:pt idx="16">
                  <c:v>133.72999999999999</c:v>
                </c:pt>
                <c:pt idx="17">
                  <c:v>154.52000000000001</c:v>
                </c:pt>
                <c:pt idx="18">
                  <c:v>169.4</c:v>
                </c:pt>
                <c:pt idx="19">
                  <c:v>168.04</c:v>
                </c:pt>
                <c:pt idx="20">
                  <c:v>151.54</c:v>
                </c:pt>
                <c:pt idx="21">
                  <c:v>181</c:v>
                </c:pt>
                <c:pt idx="22">
                  <c:v>181.91</c:v>
                </c:pt>
                <c:pt idx="23">
                  <c:v>161.07</c:v>
                </c:pt>
              </c:numCache>
            </c:numRef>
          </c:val>
          <c:smooth val="0"/>
          <c:extLst>
            <c:ext xmlns:c16="http://schemas.microsoft.com/office/drawing/2014/chart" uri="{C3380CC4-5D6E-409C-BE32-E72D297353CC}">
              <c16:uniqueId val="{00000000-EEC3-45FF-81B1-A8FBE891E072}"/>
            </c:ext>
          </c:extLst>
        </c:ser>
        <c:ser>
          <c:idx val="1"/>
          <c:order val="1"/>
          <c:tx>
            <c:v>Saisonnalité seule</c:v>
          </c:tx>
          <c:spPr>
            <a:ln w="22225">
              <a:solidFill>
                <a:srgbClr val="1F3864"/>
              </a:solidFill>
              <a:prstDash val="dash"/>
            </a:ln>
          </c:spPr>
          <c:marker>
            <c:symbol val="none"/>
          </c:marker>
          <c:cat>
            <c:numRef>
              <c:f>Backtest!$A$2:$A$25</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Backtest!$E$2:$E$25</c:f>
              <c:numCache>
                <c:formatCode>#\ ##0.0</c:formatCode>
                <c:ptCount val="24"/>
                <c:pt idx="0">
                  <c:v>160.33000000000001</c:v>
                </c:pt>
                <c:pt idx="1">
                  <c:v>149.23555555566671</c:v>
                </c:pt>
                <c:pt idx="2">
                  <c:v>161.56666666666669</c:v>
                </c:pt>
                <c:pt idx="3">
                  <c:v>161.86000000000001</c:v>
                </c:pt>
                <c:pt idx="4">
                  <c:v>142.20788793103449</c:v>
                </c:pt>
                <c:pt idx="5">
                  <c:v>153.24249999999989</c:v>
                </c:pt>
                <c:pt idx="6">
                  <c:v>151.125</c:v>
                </c:pt>
                <c:pt idx="7">
                  <c:v>144.625</c:v>
                </c:pt>
                <c:pt idx="8">
                  <c:v>138.98500000000001</c:v>
                </c:pt>
                <c:pt idx="9">
                  <c:v>159.37333333325</c:v>
                </c:pt>
                <c:pt idx="10">
                  <c:v>171.94</c:v>
                </c:pt>
                <c:pt idx="11">
                  <c:v>146.57249999999999</c:v>
                </c:pt>
                <c:pt idx="12">
                  <c:v>155.49</c:v>
                </c:pt>
                <c:pt idx="13">
                  <c:v>152.88916666674999</c:v>
                </c:pt>
                <c:pt idx="14">
                  <c:v>161.80250000000001</c:v>
                </c:pt>
                <c:pt idx="15">
                  <c:v>159.77600000000001</c:v>
                </c:pt>
                <c:pt idx="16">
                  <c:v>139.43831034482761</c:v>
                </c:pt>
                <c:pt idx="17">
                  <c:v>151.82599999999999</c:v>
                </c:pt>
                <c:pt idx="18">
                  <c:v>155.10400000000001</c:v>
                </c:pt>
                <c:pt idx="19">
                  <c:v>147.804</c:v>
                </c:pt>
                <c:pt idx="20">
                  <c:v>139.42400000000001</c:v>
                </c:pt>
                <c:pt idx="21">
                  <c:v>157.5346666666</c:v>
                </c:pt>
                <c:pt idx="22">
                  <c:v>165.55199999999999</c:v>
                </c:pt>
                <c:pt idx="23">
                  <c:v>147.96199999999999</c:v>
                </c:pt>
              </c:numCache>
            </c:numRef>
          </c:val>
          <c:smooth val="0"/>
          <c:extLst>
            <c:ext xmlns:c16="http://schemas.microsoft.com/office/drawing/2014/chart" uri="{C3380CC4-5D6E-409C-BE32-E72D297353CC}">
              <c16:uniqueId val="{00000001-EEC3-45FF-81B1-A8FBE891E072}"/>
            </c:ext>
          </c:extLst>
        </c:ser>
        <c:ser>
          <c:idx val="2"/>
          <c:order val="2"/>
          <c:tx>
            <c:v>Lissage simple</c:v>
          </c:tx>
          <c:spPr>
            <a:ln w="22225">
              <a:solidFill>
                <a:srgbClr val="ED7D31"/>
              </a:solidFill>
              <a:prstDash val="sysDash"/>
            </a:ln>
          </c:spPr>
          <c:marker>
            <c:symbol val="none"/>
          </c:marker>
          <c:cat>
            <c:numRef>
              <c:f>Backtest!$A$2:$A$25</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Backtest!$G$2:$G$25</c:f>
              <c:numCache>
                <c:formatCode>#\ ##0.0</c:formatCode>
                <c:ptCount val="24"/>
                <c:pt idx="0">
                  <c:v>150.3852199191966</c:v>
                </c:pt>
                <c:pt idx="1">
                  <c:v>140.89617475612121</c:v>
                </c:pt>
                <c:pt idx="2">
                  <c:v>157.33908186947221</c:v>
                </c:pt>
                <c:pt idx="3">
                  <c:v>159.9468296650316</c:v>
                </c:pt>
                <c:pt idx="4">
                  <c:v>140.6677779062091</c:v>
                </c:pt>
                <c:pt idx="5">
                  <c:v>149.06137129838081</c:v>
                </c:pt>
                <c:pt idx="6">
                  <c:v>142.8533494444535</c:v>
                </c:pt>
                <c:pt idx="7">
                  <c:v>161.54651749944529</c:v>
                </c:pt>
                <c:pt idx="8">
                  <c:v>155.84912071468</c:v>
                </c:pt>
                <c:pt idx="9">
                  <c:v>153.93636302226781</c:v>
                </c:pt>
                <c:pt idx="10">
                  <c:v>152.17400059101971</c:v>
                </c:pt>
                <c:pt idx="11">
                  <c:v>141.67606295775741</c:v>
                </c:pt>
                <c:pt idx="12">
                  <c:v>152.14645782896179</c:v>
                </c:pt>
                <c:pt idx="13">
                  <c:v>143.9198931818654</c:v>
                </c:pt>
                <c:pt idx="14">
                  <c:v>162.01269297520199</c:v>
                </c:pt>
                <c:pt idx="15">
                  <c:v>164.81175981129121</c:v>
                </c:pt>
                <c:pt idx="16">
                  <c:v>157.63452977065</c:v>
                </c:pt>
                <c:pt idx="17">
                  <c:v>162.20214237030081</c:v>
                </c:pt>
                <c:pt idx="18">
                  <c:v>153.65336933411751</c:v>
                </c:pt>
                <c:pt idx="19">
                  <c:v>165.93149429253111</c:v>
                </c:pt>
                <c:pt idx="20">
                  <c:v>161.47535449477201</c:v>
                </c:pt>
                <c:pt idx="21">
                  <c:v>162.38771979777451</c:v>
                </c:pt>
                <c:pt idx="22">
                  <c:v>170.4012458325567</c:v>
                </c:pt>
                <c:pt idx="23">
                  <c:v>169.82390593622139</c:v>
                </c:pt>
              </c:numCache>
            </c:numRef>
          </c:val>
          <c:smooth val="0"/>
          <c:extLst>
            <c:ext xmlns:c16="http://schemas.microsoft.com/office/drawing/2014/chart" uri="{C3380CC4-5D6E-409C-BE32-E72D297353CC}">
              <c16:uniqueId val="{00000002-EEC3-45FF-81B1-A8FBE891E072}"/>
            </c:ext>
          </c:extLst>
        </c:ser>
        <c:dLbls>
          <c:showLegendKey val="0"/>
          <c:showVal val="0"/>
          <c:showCatName val="0"/>
          <c:showSerName val="0"/>
          <c:showPercent val="0"/>
          <c:showBubbleSize val="0"/>
        </c:dLbls>
        <c:smooth val="0"/>
        <c:axId val="50050001"/>
        <c:axId val="50050002"/>
      </c:lineChart>
      <c:dateAx>
        <c:axId val="50050001"/>
        <c:scaling>
          <c:orientation val="minMax"/>
        </c:scaling>
        <c:delete val="0"/>
        <c:axPos val="b"/>
        <c:numFmt formatCode="mm/yy" sourceLinked="0"/>
        <c:majorTickMark val="out"/>
        <c:minorTickMark val="none"/>
        <c:tickLblPos val="nextTo"/>
        <c:crossAx val="50050002"/>
        <c:crosses val="autoZero"/>
        <c:auto val="1"/>
        <c:lblOffset val="100"/>
        <c:baseTimeUnit val="months"/>
        <c:majorUnit val="3"/>
        <c:majorTimeUnit val="months"/>
      </c:dateAx>
      <c:valAx>
        <c:axId val="50050002"/>
        <c:scaling>
          <c:orientation val="minMax"/>
        </c:scaling>
        <c:delete val="0"/>
        <c:axPos val="l"/>
        <c:majorGridlines/>
        <c:numFmt formatCode="#\ ##0.0" sourceLinked="1"/>
        <c:majorTickMark val="out"/>
        <c:minorTickMark val="none"/>
        <c:tickLblPos val="nextTo"/>
        <c:crossAx val="5005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Anti-inflammatoires (type ibuprofène) (M01AE)</a:t>
            </a:r>
          </a:p>
        </c:rich>
      </c:tx>
      <c:overlay val="0"/>
    </c:title>
    <c:autoTitleDeleted val="0"/>
    <c:plotArea>
      <c:layout/>
      <c:lineChart>
        <c:grouping val="standard"/>
        <c:varyColors val="0"/>
        <c:ser>
          <c:idx val="0"/>
          <c:order val="0"/>
          <c:tx>
            <c:v>Réel</c:v>
          </c:tx>
          <c:spPr>
            <a:ln w="28575">
              <a:solidFill>
                <a:srgbClr val="000000"/>
              </a:solidFill>
            </a:ln>
          </c:spPr>
          <c:marker>
            <c:symbol val="none"/>
          </c:marker>
          <c:cat>
            <c:numRef>
              <c:f>Backtest!$A$26:$A$49</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Backtest!$C$26:$C$49</c:f>
              <c:numCache>
                <c:formatCode>#\ ##0.0</c:formatCode>
                <c:ptCount val="24"/>
                <c:pt idx="0">
                  <c:v>93.802999999999997</c:v>
                </c:pt>
                <c:pt idx="1">
                  <c:v>119.78</c:v>
                </c:pt>
                <c:pt idx="2">
                  <c:v>123.762</c:v>
                </c:pt>
                <c:pt idx="3">
                  <c:v>116.28100000000001</c:v>
                </c:pt>
                <c:pt idx="4">
                  <c:v>132.804</c:v>
                </c:pt>
                <c:pt idx="5">
                  <c:v>111.764</c:v>
                </c:pt>
                <c:pt idx="6">
                  <c:v>110.482</c:v>
                </c:pt>
                <c:pt idx="7">
                  <c:v>103.52200000000001</c:v>
                </c:pt>
                <c:pt idx="8">
                  <c:v>114.226</c:v>
                </c:pt>
                <c:pt idx="9">
                  <c:v>132.54900000000001</c:v>
                </c:pt>
                <c:pt idx="10">
                  <c:v>114.71899999999999</c:v>
                </c:pt>
                <c:pt idx="11">
                  <c:v>114.992</c:v>
                </c:pt>
                <c:pt idx="12">
                  <c:v>129.4</c:v>
                </c:pt>
                <c:pt idx="13">
                  <c:v>105.48699999999999</c:v>
                </c:pt>
                <c:pt idx="14">
                  <c:v>122.267</c:v>
                </c:pt>
                <c:pt idx="15">
                  <c:v>207.63900000000001</c:v>
                </c:pt>
                <c:pt idx="16">
                  <c:v>142.155</c:v>
                </c:pt>
                <c:pt idx="17">
                  <c:v>113.11799999999999</c:v>
                </c:pt>
                <c:pt idx="18">
                  <c:v>112.123</c:v>
                </c:pt>
                <c:pt idx="19">
                  <c:v>97.257999999999996</c:v>
                </c:pt>
                <c:pt idx="20">
                  <c:v>101.627</c:v>
                </c:pt>
                <c:pt idx="21">
                  <c:v>103.541</c:v>
                </c:pt>
                <c:pt idx="22">
                  <c:v>88.269000000000005</c:v>
                </c:pt>
                <c:pt idx="23">
                  <c:v>111.437</c:v>
                </c:pt>
              </c:numCache>
            </c:numRef>
          </c:val>
          <c:smooth val="0"/>
          <c:extLst>
            <c:ext xmlns:c16="http://schemas.microsoft.com/office/drawing/2014/chart" uri="{C3380CC4-5D6E-409C-BE32-E72D297353CC}">
              <c16:uniqueId val="{00000000-B2E9-4889-9CAB-240F1F266AC9}"/>
            </c:ext>
          </c:extLst>
        </c:ser>
        <c:ser>
          <c:idx val="1"/>
          <c:order val="1"/>
          <c:tx>
            <c:v>Saisonnalité seule</c:v>
          </c:tx>
          <c:spPr>
            <a:ln w="22225">
              <a:solidFill>
                <a:srgbClr val="1F3864"/>
              </a:solidFill>
              <a:prstDash val="dash"/>
            </a:ln>
          </c:spPr>
          <c:marker>
            <c:symbol val="none"/>
          </c:marker>
          <c:cat>
            <c:numRef>
              <c:f>Backtest!$A$26:$A$49</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Backtest!$E$26:$E$49</c:f>
              <c:numCache>
                <c:formatCode>#\ ##0.0</c:formatCode>
                <c:ptCount val="24"/>
                <c:pt idx="0">
                  <c:v>126.1726666666667</c:v>
                </c:pt>
                <c:pt idx="1">
                  <c:v>115.31433333333339</c:v>
                </c:pt>
                <c:pt idx="2">
                  <c:v>134.9496666666667</c:v>
                </c:pt>
                <c:pt idx="3">
                  <c:v>134.96324999999999</c:v>
                </c:pt>
                <c:pt idx="4">
                  <c:v>126.88616379310341</c:v>
                </c:pt>
                <c:pt idx="5">
                  <c:v>124.745</c:v>
                </c:pt>
                <c:pt idx="6">
                  <c:v>111.92925</c:v>
                </c:pt>
                <c:pt idx="7">
                  <c:v>122.67400000000001</c:v>
                </c:pt>
                <c:pt idx="8">
                  <c:v>106.59175</c:v>
                </c:pt>
                <c:pt idx="9">
                  <c:v>116.51125</c:v>
                </c:pt>
                <c:pt idx="10">
                  <c:v>117.786</c:v>
                </c:pt>
                <c:pt idx="11">
                  <c:v>122.03625</c:v>
                </c:pt>
                <c:pt idx="12">
                  <c:v>118.08025000000001</c:v>
                </c:pt>
                <c:pt idx="13">
                  <c:v>116.43075</c:v>
                </c:pt>
                <c:pt idx="14">
                  <c:v>132.15275</c:v>
                </c:pt>
                <c:pt idx="15">
                  <c:v>131.2268</c:v>
                </c:pt>
                <c:pt idx="16">
                  <c:v>128.06973103448269</c:v>
                </c:pt>
                <c:pt idx="17">
                  <c:v>122.14879999999999</c:v>
                </c:pt>
                <c:pt idx="18">
                  <c:v>111.63979999999999</c:v>
                </c:pt>
                <c:pt idx="19">
                  <c:v>118.8436</c:v>
                </c:pt>
                <c:pt idx="20">
                  <c:v>108.1186</c:v>
                </c:pt>
                <c:pt idx="21">
                  <c:v>119.7188</c:v>
                </c:pt>
                <c:pt idx="22">
                  <c:v>117.1726</c:v>
                </c:pt>
                <c:pt idx="23">
                  <c:v>120.62739999999999</c:v>
                </c:pt>
              </c:numCache>
            </c:numRef>
          </c:val>
          <c:smooth val="0"/>
          <c:extLst>
            <c:ext xmlns:c16="http://schemas.microsoft.com/office/drawing/2014/chart" uri="{C3380CC4-5D6E-409C-BE32-E72D297353CC}">
              <c16:uniqueId val="{00000001-B2E9-4889-9CAB-240F1F266AC9}"/>
            </c:ext>
          </c:extLst>
        </c:ser>
        <c:ser>
          <c:idx val="2"/>
          <c:order val="2"/>
          <c:tx>
            <c:v>Holt-Winters sans tendance (saison)</c:v>
          </c:tx>
          <c:spPr>
            <a:ln w="22225">
              <a:solidFill>
                <a:srgbClr val="ED7D31"/>
              </a:solidFill>
              <a:prstDash val="sysDash"/>
            </a:ln>
          </c:spPr>
          <c:marker>
            <c:symbol val="none"/>
          </c:marker>
          <c:cat>
            <c:numRef>
              <c:f>Backtest!$A$26:$A$49</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Backtest!$I$26:$I$49</c:f>
              <c:numCache>
                <c:formatCode>#\ ##0.0</c:formatCode>
                <c:ptCount val="24"/>
                <c:pt idx="0">
                  <c:v>120.5921573258036</c:v>
                </c:pt>
                <c:pt idx="1">
                  <c:v>101.8033541911628</c:v>
                </c:pt>
                <c:pt idx="2">
                  <c:v>126.2348920598232</c:v>
                </c:pt>
                <c:pt idx="3">
                  <c:v>131.3910218527821</c:v>
                </c:pt>
                <c:pt idx="4">
                  <c:v>119.4779532107891</c:v>
                </c:pt>
                <c:pt idx="5">
                  <c:v>120.42204290100101</c:v>
                </c:pt>
                <c:pt idx="6">
                  <c:v>105.2145222270302</c:v>
                </c:pt>
                <c:pt idx="7">
                  <c:v>116.93353244802159</c:v>
                </c:pt>
                <c:pt idx="8">
                  <c:v>97.325960185741238</c:v>
                </c:pt>
                <c:pt idx="9">
                  <c:v>111.30254854693339</c:v>
                </c:pt>
                <c:pt idx="10">
                  <c:v>117.84635130823671</c:v>
                </c:pt>
                <c:pt idx="11">
                  <c:v>120.8793808123734</c:v>
                </c:pt>
                <c:pt idx="12">
                  <c:v>114.91463229284309</c:v>
                </c:pt>
                <c:pt idx="13">
                  <c:v>116.63914218979821</c:v>
                </c:pt>
                <c:pt idx="14">
                  <c:v>128.97310748792299</c:v>
                </c:pt>
                <c:pt idx="15">
                  <c:v>130.22850868556139</c:v>
                </c:pt>
                <c:pt idx="16">
                  <c:v>145.38385683920541</c:v>
                </c:pt>
                <c:pt idx="17">
                  <c:v>139.42004024499161</c:v>
                </c:pt>
                <c:pt idx="18">
                  <c:v>120.90636006784349</c:v>
                </c:pt>
                <c:pt idx="19">
                  <c:v>125.8918106222804</c:v>
                </c:pt>
                <c:pt idx="20">
                  <c:v>108.48866024364619</c:v>
                </c:pt>
                <c:pt idx="21">
                  <c:v>118.1288143676402</c:v>
                </c:pt>
                <c:pt idx="22">
                  <c:v>111.74400625374859</c:v>
                </c:pt>
                <c:pt idx="23">
                  <c:v>108.9303588905254</c:v>
                </c:pt>
              </c:numCache>
            </c:numRef>
          </c:val>
          <c:smooth val="0"/>
          <c:extLst>
            <c:ext xmlns:c16="http://schemas.microsoft.com/office/drawing/2014/chart" uri="{C3380CC4-5D6E-409C-BE32-E72D297353CC}">
              <c16:uniqueId val="{00000002-B2E9-4889-9CAB-240F1F266AC9}"/>
            </c:ext>
          </c:extLst>
        </c:ser>
        <c:dLbls>
          <c:showLegendKey val="0"/>
          <c:showVal val="0"/>
          <c:showCatName val="0"/>
          <c:showSerName val="0"/>
          <c:showPercent val="0"/>
          <c:showBubbleSize val="0"/>
        </c:dLbls>
        <c:smooth val="0"/>
        <c:axId val="50060001"/>
        <c:axId val="50060002"/>
      </c:lineChart>
      <c:dateAx>
        <c:axId val="50060001"/>
        <c:scaling>
          <c:orientation val="minMax"/>
        </c:scaling>
        <c:delete val="0"/>
        <c:axPos val="b"/>
        <c:numFmt formatCode="mm/yy" sourceLinked="0"/>
        <c:majorTickMark val="out"/>
        <c:minorTickMark val="none"/>
        <c:tickLblPos val="nextTo"/>
        <c:crossAx val="50060002"/>
        <c:crosses val="autoZero"/>
        <c:auto val="1"/>
        <c:lblOffset val="100"/>
        <c:baseTimeUnit val="months"/>
        <c:majorUnit val="3"/>
        <c:majorTimeUnit val="months"/>
      </c:dateAx>
      <c:valAx>
        <c:axId val="50060002"/>
        <c:scaling>
          <c:orientation val="minMax"/>
        </c:scaling>
        <c:delete val="0"/>
        <c:axPos val="l"/>
        <c:majorGridlines/>
        <c:numFmt formatCode="#\ ##0.0" sourceLinked="1"/>
        <c:majorTickMark val="out"/>
        <c:minorTickMark val="none"/>
        <c:tickLblPos val="nextTo"/>
        <c:crossAx val="5006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Antalgiques salicylés (type aspirine) (N02BA)</a:t>
            </a:r>
          </a:p>
        </c:rich>
      </c:tx>
      <c:overlay val="0"/>
    </c:title>
    <c:autoTitleDeleted val="0"/>
    <c:plotArea>
      <c:layout/>
      <c:lineChart>
        <c:grouping val="standard"/>
        <c:varyColors val="0"/>
        <c:ser>
          <c:idx val="0"/>
          <c:order val="0"/>
          <c:tx>
            <c:v>Réel</c:v>
          </c:tx>
          <c:spPr>
            <a:ln w="28575">
              <a:solidFill>
                <a:srgbClr val="000000"/>
              </a:solidFill>
            </a:ln>
          </c:spPr>
          <c:marker>
            <c:symbol val="none"/>
          </c:marker>
          <c:cat>
            <c:numRef>
              <c:f>Backtest!$A$50:$A$73</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Backtest!$C$50:$C$73</c:f>
              <c:numCache>
                <c:formatCode>#\ ##0.0</c:formatCode>
                <c:ptCount val="24"/>
                <c:pt idx="0">
                  <c:v>102.4</c:v>
                </c:pt>
                <c:pt idx="1">
                  <c:v>104.45</c:v>
                </c:pt>
                <c:pt idx="2">
                  <c:v>118.15</c:v>
                </c:pt>
                <c:pt idx="3">
                  <c:v>109.15</c:v>
                </c:pt>
                <c:pt idx="4">
                  <c:v>114.65</c:v>
                </c:pt>
                <c:pt idx="5">
                  <c:v>122.3</c:v>
                </c:pt>
                <c:pt idx="6">
                  <c:v>85.6</c:v>
                </c:pt>
                <c:pt idx="7">
                  <c:v>89.4</c:v>
                </c:pt>
                <c:pt idx="8">
                  <c:v>86.8</c:v>
                </c:pt>
                <c:pt idx="9">
                  <c:v>87.2</c:v>
                </c:pt>
                <c:pt idx="10">
                  <c:v>88.25</c:v>
                </c:pt>
                <c:pt idx="11">
                  <c:v>86.5</c:v>
                </c:pt>
                <c:pt idx="12">
                  <c:v>76.05</c:v>
                </c:pt>
                <c:pt idx="13">
                  <c:v>102.15</c:v>
                </c:pt>
                <c:pt idx="14">
                  <c:v>91.75</c:v>
                </c:pt>
                <c:pt idx="15">
                  <c:v>109.6</c:v>
                </c:pt>
                <c:pt idx="16">
                  <c:v>110.2</c:v>
                </c:pt>
                <c:pt idx="17">
                  <c:v>83.35</c:v>
                </c:pt>
                <c:pt idx="18">
                  <c:v>96.1</c:v>
                </c:pt>
                <c:pt idx="19">
                  <c:v>104.1</c:v>
                </c:pt>
                <c:pt idx="20">
                  <c:v>103.2</c:v>
                </c:pt>
                <c:pt idx="21">
                  <c:v>92.8</c:v>
                </c:pt>
                <c:pt idx="22">
                  <c:v>84.2</c:v>
                </c:pt>
                <c:pt idx="23">
                  <c:v>93.5</c:v>
                </c:pt>
              </c:numCache>
            </c:numRef>
          </c:val>
          <c:smooth val="0"/>
          <c:extLst>
            <c:ext xmlns:c16="http://schemas.microsoft.com/office/drawing/2014/chart" uri="{C3380CC4-5D6E-409C-BE32-E72D297353CC}">
              <c16:uniqueId val="{00000000-54E4-4135-B7D2-BD1A660FC4EE}"/>
            </c:ext>
          </c:extLst>
        </c:ser>
        <c:ser>
          <c:idx val="1"/>
          <c:order val="1"/>
          <c:tx>
            <c:v>Tendance seule</c:v>
          </c:tx>
          <c:spPr>
            <a:ln w="22225">
              <a:solidFill>
                <a:srgbClr val="1F3864"/>
              </a:solidFill>
              <a:prstDash val="dash"/>
            </a:ln>
          </c:spPr>
          <c:marker>
            <c:symbol val="none"/>
          </c:marker>
          <c:cat>
            <c:numRef>
              <c:f>Backtest!$A$50:$A$73</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Backtest!$D$50:$D$73</c:f>
              <c:numCache>
                <c:formatCode>#\ ##0.0</c:formatCode>
                <c:ptCount val="24"/>
                <c:pt idx="0">
                  <c:v>111.6666794729103</c:v>
                </c:pt>
                <c:pt idx="1">
                  <c:v>106.4251331339126</c:v>
                </c:pt>
                <c:pt idx="2">
                  <c:v>108.8849772697419</c:v>
                </c:pt>
                <c:pt idx="3">
                  <c:v>108.7376737326797</c:v>
                </c:pt>
                <c:pt idx="4">
                  <c:v>97.436007305940279</c:v>
                </c:pt>
                <c:pt idx="5">
                  <c:v>108.50550371771899</c:v>
                </c:pt>
                <c:pt idx="6">
                  <c:v>105.2298623662284</c:v>
                </c:pt>
                <c:pt idx="7">
                  <c:v>106.3585107698388</c:v>
                </c:pt>
                <c:pt idx="8">
                  <c:v>100.853972723985</c:v>
                </c:pt>
                <c:pt idx="9">
                  <c:v>102.2416318477101</c:v>
                </c:pt>
                <c:pt idx="10">
                  <c:v>100.21995294323681</c:v>
                </c:pt>
                <c:pt idx="11">
                  <c:v>95.233463594893266</c:v>
                </c:pt>
                <c:pt idx="12">
                  <c:v>96.795064753951721</c:v>
                </c:pt>
                <c:pt idx="13">
                  <c:v>91.324304760029975</c:v>
                </c:pt>
                <c:pt idx="14">
                  <c:v>94.094562579723757</c:v>
                </c:pt>
                <c:pt idx="15">
                  <c:v>92.924922704636927</c:v>
                </c:pt>
                <c:pt idx="16">
                  <c:v>84.001075875448848</c:v>
                </c:pt>
                <c:pt idx="17">
                  <c:v>93.881818002315853</c:v>
                </c:pt>
                <c:pt idx="18">
                  <c:v>89.290608648145422</c:v>
                </c:pt>
                <c:pt idx="19">
                  <c:v>91.744894237730691</c:v>
                </c:pt>
                <c:pt idx="20">
                  <c:v>88.600176606874228</c:v>
                </c:pt>
                <c:pt idx="21">
                  <c:v>91.53343545803483</c:v>
                </c:pt>
                <c:pt idx="22">
                  <c:v>90.695108636180137</c:v>
                </c:pt>
                <c:pt idx="23">
                  <c:v>86.516873034511235</c:v>
                </c:pt>
              </c:numCache>
            </c:numRef>
          </c:val>
          <c:smooth val="0"/>
          <c:extLst>
            <c:ext xmlns:c16="http://schemas.microsoft.com/office/drawing/2014/chart" uri="{C3380CC4-5D6E-409C-BE32-E72D297353CC}">
              <c16:uniqueId val="{00000001-54E4-4135-B7D2-BD1A660FC4EE}"/>
            </c:ext>
          </c:extLst>
        </c:ser>
        <c:ser>
          <c:idx val="2"/>
          <c:order val="2"/>
          <c:tx>
            <c:v>Holt-Winters sans tendance (saison)</c:v>
          </c:tx>
          <c:spPr>
            <a:ln w="22225">
              <a:solidFill>
                <a:srgbClr val="ED7D31"/>
              </a:solidFill>
              <a:prstDash val="sysDash"/>
            </a:ln>
          </c:spPr>
          <c:marker>
            <c:symbol val="none"/>
          </c:marker>
          <c:cat>
            <c:numRef>
              <c:f>Backtest!$A$50:$A$73</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Backtest!$I$50:$I$73</c:f>
              <c:numCache>
                <c:formatCode>#\ ##0.0</c:formatCode>
                <c:ptCount val="24"/>
                <c:pt idx="0">
                  <c:v>116.81014738456859</c:v>
                </c:pt>
                <c:pt idx="1">
                  <c:v>104.8996989342232</c:v>
                </c:pt>
                <c:pt idx="2">
                  <c:v>90.896224362217936</c:v>
                </c:pt>
                <c:pt idx="3">
                  <c:v>124.8511356657485</c:v>
                </c:pt>
                <c:pt idx="4">
                  <c:v>111.3489452073631</c:v>
                </c:pt>
                <c:pt idx="5">
                  <c:v>103.0908582758868</c:v>
                </c:pt>
                <c:pt idx="6">
                  <c:v>101.8848719119714</c:v>
                </c:pt>
                <c:pt idx="7">
                  <c:v>96.887219930625022</c:v>
                </c:pt>
                <c:pt idx="8">
                  <c:v>92.144303572831816</c:v>
                </c:pt>
                <c:pt idx="9">
                  <c:v>85.705115764693389</c:v>
                </c:pt>
                <c:pt idx="10">
                  <c:v>88.848019437007835</c:v>
                </c:pt>
                <c:pt idx="11">
                  <c:v>78.827559943133508</c:v>
                </c:pt>
                <c:pt idx="12">
                  <c:v>112.70685079242691</c:v>
                </c:pt>
                <c:pt idx="13">
                  <c:v>95.993032326473298</c:v>
                </c:pt>
                <c:pt idx="14">
                  <c:v>91.212629556023344</c:v>
                </c:pt>
                <c:pt idx="15">
                  <c:v>107.717152110249</c:v>
                </c:pt>
                <c:pt idx="16">
                  <c:v>104.57832576293271</c:v>
                </c:pt>
                <c:pt idx="17">
                  <c:v>99.892365533422534</c:v>
                </c:pt>
                <c:pt idx="18">
                  <c:v>81.011877356267277</c:v>
                </c:pt>
                <c:pt idx="19">
                  <c:v>87.637537436171343</c:v>
                </c:pt>
                <c:pt idx="20">
                  <c:v>91.132003105530828</c:v>
                </c:pt>
                <c:pt idx="21">
                  <c:v>92.07000400704267</c:v>
                </c:pt>
                <c:pt idx="22">
                  <c:v>94.542838977541081</c:v>
                </c:pt>
                <c:pt idx="23">
                  <c:v>82.61178243587797</c:v>
                </c:pt>
              </c:numCache>
            </c:numRef>
          </c:val>
          <c:smooth val="0"/>
          <c:extLst>
            <c:ext xmlns:c16="http://schemas.microsoft.com/office/drawing/2014/chart" uri="{C3380CC4-5D6E-409C-BE32-E72D297353CC}">
              <c16:uniqueId val="{00000002-54E4-4135-B7D2-BD1A660FC4EE}"/>
            </c:ext>
          </c:extLst>
        </c:ser>
        <c:dLbls>
          <c:showLegendKey val="0"/>
          <c:showVal val="0"/>
          <c:showCatName val="0"/>
          <c:showSerName val="0"/>
          <c:showPercent val="0"/>
          <c:showBubbleSize val="0"/>
        </c:dLbls>
        <c:smooth val="0"/>
        <c:axId val="50070001"/>
        <c:axId val="50070002"/>
      </c:lineChart>
      <c:dateAx>
        <c:axId val="50070001"/>
        <c:scaling>
          <c:orientation val="minMax"/>
        </c:scaling>
        <c:delete val="0"/>
        <c:axPos val="b"/>
        <c:numFmt formatCode="mm/yy" sourceLinked="0"/>
        <c:majorTickMark val="out"/>
        <c:minorTickMark val="none"/>
        <c:tickLblPos val="nextTo"/>
        <c:crossAx val="50070002"/>
        <c:crosses val="autoZero"/>
        <c:auto val="1"/>
        <c:lblOffset val="100"/>
        <c:baseTimeUnit val="months"/>
        <c:majorUnit val="3"/>
        <c:majorTimeUnit val="months"/>
      </c:dateAx>
      <c:valAx>
        <c:axId val="50070002"/>
        <c:scaling>
          <c:orientation val="minMax"/>
        </c:scaling>
        <c:delete val="0"/>
        <c:axPos val="l"/>
        <c:majorGridlines/>
        <c:numFmt formatCode="#\ ##0.0" sourceLinked="1"/>
        <c:majorTickMark val="out"/>
        <c:minorTickMark val="none"/>
        <c:tickLblPos val="nextTo"/>
        <c:crossAx val="5007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Antalgiques (type paracétamol) (N02BE)</a:t>
            </a:r>
          </a:p>
        </c:rich>
      </c:tx>
      <c:overlay val="0"/>
    </c:title>
    <c:autoTitleDeleted val="0"/>
    <c:plotArea>
      <c:layout/>
      <c:lineChart>
        <c:grouping val="standard"/>
        <c:varyColors val="0"/>
        <c:ser>
          <c:idx val="0"/>
          <c:order val="0"/>
          <c:tx>
            <c:v>Réel</c:v>
          </c:tx>
          <c:spPr>
            <a:ln w="28575">
              <a:solidFill>
                <a:srgbClr val="000000"/>
              </a:solidFill>
            </a:ln>
          </c:spPr>
          <c:marker>
            <c:symbol val="none"/>
          </c:marker>
          <c:cat>
            <c:numRef>
              <c:f>Backtest!$A$74:$A$97</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Backtest!$C$74:$C$97</c:f>
              <c:numCache>
                <c:formatCode>#\ ##0.0</c:formatCode>
                <c:ptCount val="24"/>
                <c:pt idx="0">
                  <c:v>1241.95</c:v>
                </c:pt>
                <c:pt idx="1">
                  <c:v>867.899</c:v>
                </c:pt>
                <c:pt idx="2">
                  <c:v>1064.08</c:v>
                </c:pt>
                <c:pt idx="3">
                  <c:v>1255.125</c:v>
                </c:pt>
                <c:pt idx="4">
                  <c:v>1255.374</c:v>
                </c:pt>
                <c:pt idx="5">
                  <c:v>999.12300000000005</c:v>
                </c:pt>
                <c:pt idx="6">
                  <c:v>821.48699999999997</c:v>
                </c:pt>
                <c:pt idx="7">
                  <c:v>644.64800000000002</c:v>
                </c:pt>
                <c:pt idx="8">
                  <c:v>584.34299999999996</c:v>
                </c:pt>
                <c:pt idx="9">
                  <c:v>679.35</c:v>
                </c:pt>
                <c:pt idx="10">
                  <c:v>733.83799999999997</c:v>
                </c:pt>
                <c:pt idx="11">
                  <c:v>1058.2619999999999</c:v>
                </c:pt>
                <c:pt idx="12">
                  <c:v>1129.2750000000001</c:v>
                </c:pt>
                <c:pt idx="13">
                  <c:v>995.15</c:v>
                </c:pt>
                <c:pt idx="14">
                  <c:v>1360.95</c:v>
                </c:pt>
                <c:pt idx="15">
                  <c:v>1822.7739999999999</c:v>
                </c:pt>
                <c:pt idx="16">
                  <c:v>1001.212</c:v>
                </c:pt>
                <c:pt idx="17">
                  <c:v>941.05000000000007</c:v>
                </c:pt>
                <c:pt idx="18">
                  <c:v>689.05</c:v>
                </c:pt>
                <c:pt idx="19">
                  <c:v>703.56200000000001</c:v>
                </c:pt>
                <c:pt idx="20">
                  <c:v>610</c:v>
                </c:pt>
                <c:pt idx="21">
                  <c:v>620.67499999999995</c:v>
                </c:pt>
                <c:pt idx="22">
                  <c:v>518.1</c:v>
                </c:pt>
                <c:pt idx="23">
                  <c:v>984.48</c:v>
                </c:pt>
              </c:numCache>
            </c:numRef>
          </c:val>
          <c:smooth val="0"/>
          <c:extLst>
            <c:ext xmlns:c16="http://schemas.microsoft.com/office/drawing/2014/chart" uri="{C3380CC4-5D6E-409C-BE32-E72D297353CC}">
              <c16:uniqueId val="{00000000-ABE0-46CB-A497-A0F79668F418}"/>
            </c:ext>
          </c:extLst>
        </c:ser>
        <c:ser>
          <c:idx val="1"/>
          <c:order val="1"/>
          <c:tx>
            <c:v>Saisonnalité seule</c:v>
          </c:tx>
          <c:spPr>
            <a:ln w="22225">
              <a:solidFill>
                <a:srgbClr val="1F3864"/>
              </a:solidFill>
              <a:prstDash val="dash"/>
            </a:ln>
          </c:spPr>
          <c:marker>
            <c:symbol val="none"/>
          </c:marker>
          <c:cat>
            <c:numRef>
              <c:f>Backtest!$A$74:$A$97</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Backtest!$E$74:$E$97</c:f>
              <c:numCache>
                <c:formatCode>#\ ##0.0</c:formatCode>
                <c:ptCount val="24"/>
                <c:pt idx="0">
                  <c:v>1401.480555556667</c:v>
                </c:pt>
                <c:pt idx="1">
                  <c:v>1007.153666666667</c:v>
                </c:pt>
                <c:pt idx="2">
                  <c:v>1333.498</c:v>
                </c:pt>
                <c:pt idx="3">
                  <c:v>1272.6765</c:v>
                </c:pt>
                <c:pt idx="4">
                  <c:v>961.92234482758636</c:v>
                </c:pt>
                <c:pt idx="5">
                  <c:v>906.83124999999995</c:v>
                </c:pt>
                <c:pt idx="6">
                  <c:v>829.67674999999986</c:v>
                </c:pt>
                <c:pt idx="7">
                  <c:v>743.29249999999979</c:v>
                </c:pt>
                <c:pt idx="8">
                  <c:v>629.94699999999989</c:v>
                </c:pt>
                <c:pt idx="9">
                  <c:v>583.11</c:v>
                </c:pt>
                <c:pt idx="10">
                  <c:v>643.45533333499998</c:v>
                </c:pt>
                <c:pt idx="11">
                  <c:v>930.59850000000006</c:v>
                </c:pt>
                <c:pt idx="12">
                  <c:v>1361.5979166674999</c:v>
                </c:pt>
                <c:pt idx="13">
                  <c:v>972.33999999999992</c:v>
                </c:pt>
                <c:pt idx="14">
                  <c:v>1266.1434999999999</c:v>
                </c:pt>
                <c:pt idx="15">
                  <c:v>1269.1661999999999</c:v>
                </c:pt>
                <c:pt idx="16">
                  <c:v>1020.612675862069</c:v>
                </c:pt>
                <c:pt idx="17">
                  <c:v>925.28959999999995</c:v>
                </c:pt>
                <c:pt idx="18">
                  <c:v>828.0387999999997</c:v>
                </c:pt>
                <c:pt idx="19">
                  <c:v>723.56359999999984</c:v>
                </c:pt>
                <c:pt idx="20">
                  <c:v>620.82619999999997</c:v>
                </c:pt>
                <c:pt idx="21">
                  <c:v>602.35799999999983</c:v>
                </c:pt>
                <c:pt idx="22">
                  <c:v>661.53186666800013</c:v>
                </c:pt>
                <c:pt idx="23">
                  <c:v>956.13120000000004</c:v>
                </c:pt>
              </c:numCache>
            </c:numRef>
          </c:val>
          <c:smooth val="0"/>
          <c:extLst>
            <c:ext xmlns:c16="http://schemas.microsoft.com/office/drawing/2014/chart" uri="{C3380CC4-5D6E-409C-BE32-E72D297353CC}">
              <c16:uniqueId val="{00000001-ABE0-46CB-A497-A0F79668F418}"/>
            </c:ext>
          </c:extLst>
        </c:ser>
        <c:ser>
          <c:idx val="2"/>
          <c:order val="2"/>
          <c:tx>
            <c:v>Holt-Winters sans tendance (saison)</c:v>
          </c:tx>
          <c:spPr>
            <a:ln w="22225">
              <a:solidFill>
                <a:srgbClr val="ED7D31"/>
              </a:solidFill>
              <a:prstDash val="sysDash"/>
            </a:ln>
          </c:spPr>
          <c:marker>
            <c:symbol val="none"/>
          </c:marker>
          <c:cat>
            <c:numRef>
              <c:f>Backtest!$A$74:$A$97</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Backtest!$I$74:$I$97</c:f>
              <c:numCache>
                <c:formatCode>#\ ##0.0</c:formatCode>
                <c:ptCount val="24"/>
                <c:pt idx="0">
                  <c:v>1280.5299405118619</c:v>
                </c:pt>
                <c:pt idx="1">
                  <c:v>864.71984194292213</c:v>
                </c:pt>
                <c:pt idx="2">
                  <c:v>1184.387607340904</c:v>
                </c:pt>
                <c:pt idx="3">
                  <c:v>1124.959933899202</c:v>
                </c:pt>
                <c:pt idx="4">
                  <c:v>895.47869428353283</c:v>
                </c:pt>
                <c:pt idx="5">
                  <c:v>1079.227412375732</c:v>
                </c:pt>
                <c:pt idx="6">
                  <c:v>937.37854761715937</c:v>
                </c:pt>
                <c:pt idx="7">
                  <c:v>778.74620990974086</c:v>
                </c:pt>
                <c:pt idx="8">
                  <c:v>582.58656074506655</c:v>
                </c:pt>
                <c:pt idx="9">
                  <c:v>530.77165034956988</c:v>
                </c:pt>
                <c:pt idx="10">
                  <c:v>671.43776855310091</c:v>
                </c:pt>
                <c:pt idx="11">
                  <c:v>986.99785603501687</c:v>
                </c:pt>
                <c:pt idx="12">
                  <c:v>1456.553497106657</c:v>
                </c:pt>
                <c:pt idx="13">
                  <c:v>884.84374269574494</c:v>
                </c:pt>
                <c:pt idx="14">
                  <c:v>1233.8216119149799</c:v>
                </c:pt>
                <c:pt idx="15">
                  <c:v>1348.550225585594</c:v>
                </c:pt>
                <c:pt idx="16">
                  <c:v>1362.5293280428789</c:v>
                </c:pt>
                <c:pt idx="17">
                  <c:v>1064.7023965556491</c:v>
                </c:pt>
                <c:pt idx="18">
                  <c:v>907.39040015878368</c:v>
                </c:pt>
                <c:pt idx="19">
                  <c:v>699.85633938749334</c:v>
                </c:pt>
                <c:pt idx="20">
                  <c:v>595.89273323411965</c:v>
                </c:pt>
                <c:pt idx="21">
                  <c:v>579.25690981685739</c:v>
                </c:pt>
                <c:pt idx="22">
                  <c:v>652.54448963826519</c:v>
                </c:pt>
                <c:pt idx="23">
                  <c:v>887.01538264453188</c:v>
                </c:pt>
              </c:numCache>
            </c:numRef>
          </c:val>
          <c:smooth val="0"/>
          <c:extLst>
            <c:ext xmlns:c16="http://schemas.microsoft.com/office/drawing/2014/chart" uri="{C3380CC4-5D6E-409C-BE32-E72D297353CC}">
              <c16:uniqueId val="{00000002-ABE0-46CB-A497-A0F79668F418}"/>
            </c:ext>
          </c:extLst>
        </c:ser>
        <c:dLbls>
          <c:showLegendKey val="0"/>
          <c:showVal val="0"/>
          <c:showCatName val="0"/>
          <c:showSerName val="0"/>
          <c:showPercent val="0"/>
          <c:showBubbleSize val="0"/>
        </c:dLbls>
        <c:smooth val="0"/>
        <c:axId val="50080001"/>
        <c:axId val="50080002"/>
      </c:lineChart>
      <c:dateAx>
        <c:axId val="50080001"/>
        <c:scaling>
          <c:orientation val="minMax"/>
        </c:scaling>
        <c:delete val="0"/>
        <c:axPos val="b"/>
        <c:numFmt formatCode="mm/yy" sourceLinked="0"/>
        <c:majorTickMark val="out"/>
        <c:minorTickMark val="none"/>
        <c:tickLblPos val="nextTo"/>
        <c:crossAx val="50080002"/>
        <c:crosses val="autoZero"/>
        <c:auto val="1"/>
        <c:lblOffset val="100"/>
        <c:baseTimeUnit val="months"/>
        <c:majorUnit val="3"/>
        <c:majorTimeUnit val="months"/>
      </c:dateAx>
      <c:valAx>
        <c:axId val="50080002"/>
        <c:scaling>
          <c:orientation val="minMax"/>
        </c:scaling>
        <c:delete val="0"/>
        <c:axPos val="l"/>
        <c:majorGridlines/>
        <c:numFmt formatCode="#\ ##0.0" sourceLinked="1"/>
        <c:majorTickMark val="out"/>
        <c:minorTickMark val="none"/>
        <c:tickLblPos val="nextTo"/>
        <c:crossAx val="5008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Anxiolytiques (N05B)</a:t>
            </a:r>
          </a:p>
        </c:rich>
      </c:tx>
      <c:overlay val="0"/>
    </c:title>
    <c:autoTitleDeleted val="0"/>
    <c:plotArea>
      <c:layout/>
      <c:lineChart>
        <c:grouping val="standard"/>
        <c:varyColors val="0"/>
        <c:ser>
          <c:idx val="0"/>
          <c:order val="0"/>
          <c:tx>
            <c:v>Réel</c:v>
          </c:tx>
          <c:spPr>
            <a:ln w="28575">
              <a:solidFill>
                <a:srgbClr val="000000"/>
              </a:solidFill>
            </a:ln>
          </c:spPr>
          <c:marker>
            <c:symbol val="none"/>
          </c:marker>
          <c:cat>
            <c:numRef>
              <c:f>Backtest!$A$98:$A$121</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Backtest!$C$98:$C$121</c:f>
              <c:numCache>
                <c:formatCode>#\ ##0.0</c:formatCode>
                <c:ptCount val="24"/>
                <c:pt idx="0">
                  <c:v>233</c:v>
                </c:pt>
                <c:pt idx="1">
                  <c:v>192</c:v>
                </c:pt>
                <c:pt idx="2">
                  <c:v>234</c:v>
                </c:pt>
                <c:pt idx="3">
                  <c:v>240</c:v>
                </c:pt>
                <c:pt idx="4">
                  <c:v>268</c:v>
                </c:pt>
                <c:pt idx="5">
                  <c:v>381</c:v>
                </c:pt>
                <c:pt idx="6">
                  <c:v>297</c:v>
                </c:pt>
                <c:pt idx="7">
                  <c:v>259</c:v>
                </c:pt>
                <c:pt idx="8">
                  <c:v>248</c:v>
                </c:pt>
                <c:pt idx="9">
                  <c:v>283</c:v>
                </c:pt>
                <c:pt idx="10">
                  <c:v>253</c:v>
                </c:pt>
                <c:pt idx="11">
                  <c:v>263</c:v>
                </c:pt>
                <c:pt idx="12">
                  <c:v>287</c:v>
                </c:pt>
                <c:pt idx="13">
                  <c:v>252.2</c:v>
                </c:pt>
                <c:pt idx="14">
                  <c:v>271</c:v>
                </c:pt>
                <c:pt idx="15">
                  <c:v>318.2</c:v>
                </c:pt>
                <c:pt idx="16">
                  <c:v>249.4</c:v>
                </c:pt>
                <c:pt idx="17">
                  <c:v>301.39999999999998</c:v>
                </c:pt>
                <c:pt idx="18">
                  <c:v>317.39999999999998</c:v>
                </c:pt>
                <c:pt idx="19">
                  <c:v>265.8</c:v>
                </c:pt>
                <c:pt idx="20">
                  <c:v>193</c:v>
                </c:pt>
                <c:pt idx="21">
                  <c:v>250.6</c:v>
                </c:pt>
                <c:pt idx="22">
                  <c:v>237</c:v>
                </c:pt>
                <c:pt idx="23">
                  <c:v>227.8</c:v>
                </c:pt>
              </c:numCache>
            </c:numRef>
          </c:val>
          <c:smooth val="0"/>
          <c:extLst>
            <c:ext xmlns:c16="http://schemas.microsoft.com/office/drawing/2014/chart" uri="{C3380CC4-5D6E-409C-BE32-E72D297353CC}">
              <c16:uniqueId val="{00000000-EFB0-4C5B-8AB1-FD4276A6F2B3}"/>
            </c:ext>
          </c:extLst>
        </c:ser>
        <c:ser>
          <c:idx val="1"/>
          <c:order val="1"/>
          <c:tx>
            <c:v>Saisonnalité seule</c:v>
          </c:tx>
          <c:spPr>
            <a:ln w="22225">
              <a:solidFill>
                <a:srgbClr val="1F3864"/>
              </a:solidFill>
              <a:prstDash val="dash"/>
            </a:ln>
          </c:spPr>
          <c:marker>
            <c:symbol val="none"/>
          </c:marker>
          <c:cat>
            <c:numRef>
              <c:f>Backtest!$A$98:$A$121</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Backtest!$E$98:$E$121</c:f>
              <c:numCache>
                <c:formatCode>#\ ##0.0</c:formatCode>
                <c:ptCount val="24"/>
                <c:pt idx="0">
                  <c:v>314.27777777666671</c:v>
                </c:pt>
                <c:pt idx="1">
                  <c:v>317.05555555666672</c:v>
                </c:pt>
                <c:pt idx="2">
                  <c:v>348.77777777666671</c:v>
                </c:pt>
                <c:pt idx="3">
                  <c:v>335.25000000000011</c:v>
                </c:pt>
                <c:pt idx="4">
                  <c:v>244.65840517241381</c:v>
                </c:pt>
                <c:pt idx="5">
                  <c:v>213.74999999999989</c:v>
                </c:pt>
                <c:pt idx="6">
                  <c:v>210</c:v>
                </c:pt>
                <c:pt idx="7">
                  <c:v>219</c:v>
                </c:pt>
                <c:pt idx="8">
                  <c:v>245.875</c:v>
                </c:pt>
                <c:pt idx="9">
                  <c:v>252.5</c:v>
                </c:pt>
                <c:pt idx="10">
                  <c:v>299.99999999999989</c:v>
                </c:pt>
                <c:pt idx="11">
                  <c:v>293.125</c:v>
                </c:pt>
                <c:pt idx="12">
                  <c:v>293.95833333249988</c:v>
                </c:pt>
                <c:pt idx="13">
                  <c:v>285.79166666750012</c:v>
                </c:pt>
                <c:pt idx="14">
                  <c:v>320.08333333249999</c:v>
                </c:pt>
                <c:pt idx="15">
                  <c:v>316.2</c:v>
                </c:pt>
                <c:pt idx="16">
                  <c:v>249.326724137931</c:v>
                </c:pt>
                <c:pt idx="17">
                  <c:v>247.2</c:v>
                </c:pt>
                <c:pt idx="18">
                  <c:v>227.39999999999989</c:v>
                </c:pt>
                <c:pt idx="19">
                  <c:v>227</c:v>
                </c:pt>
                <c:pt idx="20">
                  <c:v>246.3000000000001</c:v>
                </c:pt>
                <c:pt idx="21">
                  <c:v>258.60000000000002</c:v>
                </c:pt>
                <c:pt idx="22">
                  <c:v>290.60000000000002</c:v>
                </c:pt>
                <c:pt idx="23">
                  <c:v>287.10000000000002</c:v>
                </c:pt>
              </c:numCache>
            </c:numRef>
          </c:val>
          <c:smooth val="0"/>
          <c:extLst>
            <c:ext xmlns:c16="http://schemas.microsoft.com/office/drawing/2014/chart" uri="{C3380CC4-5D6E-409C-BE32-E72D297353CC}">
              <c16:uniqueId val="{00000001-EFB0-4C5B-8AB1-FD4276A6F2B3}"/>
            </c:ext>
          </c:extLst>
        </c:ser>
        <c:ser>
          <c:idx val="2"/>
          <c:order val="2"/>
          <c:tx>
            <c:v>Lissage simple</c:v>
          </c:tx>
          <c:spPr>
            <a:ln w="22225">
              <a:solidFill>
                <a:srgbClr val="ED7D31"/>
              </a:solidFill>
              <a:prstDash val="sysDash"/>
            </a:ln>
          </c:spPr>
          <c:marker>
            <c:symbol val="none"/>
          </c:marker>
          <c:cat>
            <c:numRef>
              <c:f>Backtest!$A$98:$A$121</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Backtest!$G$98:$G$121</c:f>
              <c:numCache>
                <c:formatCode>#\ ##0.0</c:formatCode>
                <c:ptCount val="24"/>
                <c:pt idx="0">
                  <c:v>230.4333334609866</c:v>
                </c:pt>
                <c:pt idx="1">
                  <c:v>225.48387093072941</c:v>
                </c:pt>
                <c:pt idx="2">
                  <c:v>198.40000051558019</c:v>
                </c:pt>
                <c:pt idx="3">
                  <c:v>233.99999946951871</c:v>
                </c:pt>
                <c:pt idx="4">
                  <c:v>216.77419346763239</c:v>
                </c:pt>
                <c:pt idx="5">
                  <c:v>296.71428486917699</c:v>
                </c:pt>
                <c:pt idx="6">
                  <c:v>368.70967620391451</c:v>
                </c:pt>
                <c:pt idx="7">
                  <c:v>306.90000110417611</c:v>
                </c:pt>
                <c:pt idx="8">
                  <c:v>250.6451619810635</c:v>
                </c:pt>
                <c:pt idx="9">
                  <c:v>256.26666670739661</c:v>
                </c:pt>
                <c:pt idx="10">
                  <c:v>282.99999960164229</c:v>
                </c:pt>
                <c:pt idx="11">
                  <c:v>244.83871011003379</c:v>
                </c:pt>
                <c:pt idx="12">
                  <c:v>271.76666638702159</c:v>
                </c:pt>
                <c:pt idx="13">
                  <c:v>277.74193526419901</c:v>
                </c:pt>
                <c:pt idx="14">
                  <c:v>260.606667059958</c:v>
                </c:pt>
                <c:pt idx="15">
                  <c:v>270.99999984512732</c:v>
                </c:pt>
                <c:pt idx="16">
                  <c:v>287.40645097763309</c:v>
                </c:pt>
                <c:pt idx="17">
                  <c:v>276.12142919844808</c:v>
                </c:pt>
                <c:pt idx="18">
                  <c:v>291.6774189903096</c:v>
                </c:pt>
                <c:pt idx="19">
                  <c:v>327.97999960392713</c:v>
                </c:pt>
                <c:pt idx="20">
                  <c:v>257.22580734827818</c:v>
                </c:pt>
                <c:pt idx="21">
                  <c:v>199.43333432227379</c:v>
                </c:pt>
                <c:pt idx="22">
                  <c:v>250.59999923755731</c:v>
                </c:pt>
                <c:pt idx="23">
                  <c:v>229.3548389057959</c:v>
                </c:pt>
              </c:numCache>
            </c:numRef>
          </c:val>
          <c:smooth val="0"/>
          <c:extLst>
            <c:ext xmlns:c16="http://schemas.microsoft.com/office/drawing/2014/chart" uri="{C3380CC4-5D6E-409C-BE32-E72D297353CC}">
              <c16:uniqueId val="{00000002-EFB0-4C5B-8AB1-FD4276A6F2B3}"/>
            </c:ext>
          </c:extLst>
        </c:ser>
        <c:dLbls>
          <c:showLegendKey val="0"/>
          <c:showVal val="0"/>
          <c:showCatName val="0"/>
          <c:showSerName val="0"/>
          <c:showPercent val="0"/>
          <c:showBubbleSize val="0"/>
        </c:dLbls>
        <c:smooth val="0"/>
        <c:axId val="50090001"/>
        <c:axId val="50090002"/>
      </c:lineChart>
      <c:dateAx>
        <c:axId val="50090001"/>
        <c:scaling>
          <c:orientation val="minMax"/>
        </c:scaling>
        <c:delete val="0"/>
        <c:axPos val="b"/>
        <c:numFmt formatCode="mm/yy" sourceLinked="0"/>
        <c:majorTickMark val="out"/>
        <c:minorTickMark val="none"/>
        <c:tickLblPos val="nextTo"/>
        <c:crossAx val="50090002"/>
        <c:crosses val="autoZero"/>
        <c:auto val="1"/>
        <c:lblOffset val="100"/>
        <c:baseTimeUnit val="months"/>
        <c:majorUnit val="3"/>
        <c:majorTimeUnit val="months"/>
      </c:dateAx>
      <c:valAx>
        <c:axId val="50090002"/>
        <c:scaling>
          <c:orientation val="minMax"/>
        </c:scaling>
        <c:delete val="0"/>
        <c:axPos val="l"/>
        <c:majorGridlines/>
        <c:numFmt formatCode="#\ ##0.0" sourceLinked="1"/>
        <c:majorTickMark val="out"/>
        <c:minorTickMark val="none"/>
        <c:tickLblPos val="nextTo"/>
        <c:crossAx val="5009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Hypnotiques et sédatifs (N05C)</a:t>
            </a:r>
          </a:p>
        </c:rich>
      </c:tx>
      <c:overlay val="0"/>
    </c:title>
    <c:autoTitleDeleted val="0"/>
    <c:plotArea>
      <c:layout/>
      <c:lineChart>
        <c:grouping val="standard"/>
        <c:varyColors val="0"/>
        <c:ser>
          <c:idx val="0"/>
          <c:order val="0"/>
          <c:tx>
            <c:v>Réel</c:v>
          </c:tx>
          <c:spPr>
            <a:ln w="28575">
              <a:solidFill>
                <a:srgbClr val="000000"/>
              </a:solidFill>
            </a:ln>
          </c:spPr>
          <c:marker>
            <c:symbol val="none"/>
          </c:marker>
          <c:cat>
            <c:numRef>
              <c:f>Backtest!$A$122:$A$145</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Backtest!$C$122:$C$145</c:f>
              <c:numCache>
                <c:formatCode>#\ ##0.0</c:formatCode>
                <c:ptCount val="24"/>
                <c:pt idx="0">
                  <c:v>15</c:v>
                </c:pt>
                <c:pt idx="1">
                  <c:v>15</c:v>
                </c:pt>
                <c:pt idx="2">
                  <c:v>6</c:v>
                </c:pt>
                <c:pt idx="3">
                  <c:v>11</c:v>
                </c:pt>
                <c:pt idx="4">
                  <c:v>12</c:v>
                </c:pt>
                <c:pt idx="5">
                  <c:v>42</c:v>
                </c:pt>
                <c:pt idx="6">
                  <c:v>15</c:v>
                </c:pt>
                <c:pt idx="7">
                  <c:v>13</c:v>
                </c:pt>
                <c:pt idx="8">
                  <c:v>18</c:v>
                </c:pt>
                <c:pt idx="9">
                  <c:v>19</c:v>
                </c:pt>
                <c:pt idx="10">
                  <c:v>20</c:v>
                </c:pt>
                <c:pt idx="11">
                  <c:v>12</c:v>
                </c:pt>
                <c:pt idx="12">
                  <c:v>25</c:v>
                </c:pt>
                <c:pt idx="13">
                  <c:v>22</c:v>
                </c:pt>
                <c:pt idx="14">
                  <c:v>32</c:v>
                </c:pt>
                <c:pt idx="15">
                  <c:v>24</c:v>
                </c:pt>
                <c:pt idx="16">
                  <c:v>12</c:v>
                </c:pt>
                <c:pt idx="17">
                  <c:v>19</c:v>
                </c:pt>
                <c:pt idx="18">
                  <c:v>22</c:v>
                </c:pt>
                <c:pt idx="19">
                  <c:v>26</c:v>
                </c:pt>
                <c:pt idx="20">
                  <c:v>25</c:v>
                </c:pt>
                <c:pt idx="21">
                  <c:v>20</c:v>
                </c:pt>
                <c:pt idx="22">
                  <c:v>26</c:v>
                </c:pt>
                <c:pt idx="23">
                  <c:v>16</c:v>
                </c:pt>
              </c:numCache>
            </c:numRef>
          </c:val>
          <c:smooth val="0"/>
          <c:extLst>
            <c:ext xmlns:c16="http://schemas.microsoft.com/office/drawing/2014/chart" uri="{C3380CC4-5D6E-409C-BE32-E72D297353CC}">
              <c16:uniqueId val="{00000000-F844-4365-A8A9-06CCD0399C59}"/>
            </c:ext>
          </c:extLst>
        </c:ser>
        <c:ser>
          <c:idx val="1"/>
          <c:order val="1"/>
          <c:tx>
            <c:v>Tendance seule</c:v>
          </c:tx>
          <c:spPr>
            <a:ln w="22225">
              <a:solidFill>
                <a:srgbClr val="1F3864"/>
              </a:solidFill>
              <a:prstDash val="dash"/>
            </a:ln>
          </c:spPr>
          <c:marker>
            <c:symbol val="none"/>
          </c:marker>
          <c:cat>
            <c:numRef>
              <c:f>Backtest!$A$122:$A$145</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Backtest!$D$122:$D$145</c:f>
              <c:numCache>
                <c:formatCode>#\ ##0.0</c:formatCode>
                <c:ptCount val="24"/>
                <c:pt idx="0">
                  <c:v>13.450816788575411</c:v>
                </c:pt>
                <c:pt idx="1">
                  <c:v>12.975029075324089</c:v>
                </c:pt>
                <c:pt idx="2">
                  <c:v>13.41191357208932</c:v>
                </c:pt>
                <c:pt idx="3">
                  <c:v>12.62612016560109</c:v>
                </c:pt>
                <c:pt idx="4">
                  <c:v>11.11539825051265</c:v>
                </c:pt>
                <c:pt idx="5">
                  <c:v>12.193659997989339</c:v>
                </c:pt>
                <c:pt idx="6">
                  <c:v>13.88002486422822</c:v>
                </c:pt>
                <c:pt idx="7">
                  <c:v>14.31043138740908</c:v>
                </c:pt>
                <c:pt idx="8">
                  <c:v>13.63816045750375</c:v>
                </c:pt>
                <c:pt idx="9">
                  <c:v>14.305122670770039</c:v>
                </c:pt>
                <c:pt idx="10">
                  <c:v>14.534161483471831</c:v>
                </c:pt>
                <c:pt idx="11">
                  <c:v>14.343210555533769</c:v>
                </c:pt>
                <c:pt idx="12">
                  <c:v>14.558413737545839</c:v>
                </c:pt>
                <c:pt idx="13">
                  <c:v>14.691427660094201</c:v>
                </c:pt>
                <c:pt idx="14">
                  <c:v>15.61408153942566</c:v>
                </c:pt>
                <c:pt idx="15">
                  <c:v>16.64020307441114</c:v>
                </c:pt>
                <c:pt idx="16">
                  <c:v>15.430169404985509</c:v>
                </c:pt>
                <c:pt idx="17">
                  <c:v>16.81065491277932</c:v>
                </c:pt>
                <c:pt idx="18">
                  <c:v>16.37041209728477</c:v>
                </c:pt>
                <c:pt idx="19">
                  <c:v>17.249359557041199</c:v>
                </c:pt>
                <c:pt idx="20">
                  <c:v>17.19284541584668</c:v>
                </c:pt>
                <c:pt idx="21">
                  <c:v>18.245191590019179</c:v>
                </c:pt>
                <c:pt idx="22">
                  <c:v>18.351220944092791</c:v>
                </c:pt>
                <c:pt idx="23">
                  <c:v>18.198120757110299</c:v>
                </c:pt>
              </c:numCache>
            </c:numRef>
          </c:val>
          <c:smooth val="0"/>
          <c:extLst>
            <c:ext xmlns:c16="http://schemas.microsoft.com/office/drawing/2014/chart" uri="{C3380CC4-5D6E-409C-BE32-E72D297353CC}">
              <c16:uniqueId val="{00000001-F844-4365-A8A9-06CCD0399C59}"/>
            </c:ext>
          </c:extLst>
        </c:ser>
        <c:ser>
          <c:idx val="2"/>
          <c:order val="2"/>
          <c:tx>
            <c:v>Lissage simple</c:v>
          </c:tx>
          <c:spPr>
            <a:ln w="22225">
              <a:solidFill>
                <a:srgbClr val="ED7D31"/>
              </a:solidFill>
              <a:prstDash val="sysDash"/>
            </a:ln>
          </c:spPr>
          <c:marker>
            <c:symbol val="none"/>
          </c:marker>
          <c:cat>
            <c:numRef>
              <c:f>Backtest!$A$122:$A$145</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Backtest!$G$122:$G$145</c:f>
              <c:numCache>
                <c:formatCode>#\ ##0.0</c:formatCode>
                <c:ptCount val="24"/>
                <c:pt idx="0">
                  <c:v>16.575610635981359</c:v>
                </c:pt>
                <c:pt idx="1">
                  <c:v>15.55408695232992</c:v>
                </c:pt>
                <c:pt idx="2">
                  <c:v>15.898769119455279</c:v>
                </c:pt>
                <c:pt idx="3">
                  <c:v>13.01357556164437</c:v>
                </c:pt>
                <c:pt idx="4">
                  <c:v>11.16718710653484</c:v>
                </c:pt>
                <c:pt idx="5">
                  <c:v>12.655055741891109</c:v>
                </c:pt>
                <c:pt idx="6">
                  <c:v>18.799855116113761</c:v>
                </c:pt>
                <c:pt idx="7">
                  <c:v>18.144685674058291</c:v>
                </c:pt>
                <c:pt idx="8">
                  <c:v>16.478818209172669</c:v>
                </c:pt>
                <c:pt idx="9">
                  <c:v>17.314759377867929</c:v>
                </c:pt>
                <c:pt idx="10">
                  <c:v>17.62878765182829</c:v>
                </c:pt>
                <c:pt idx="11">
                  <c:v>17.49954147726358</c:v>
                </c:pt>
                <c:pt idx="12">
                  <c:v>17.042857734424519</c:v>
                </c:pt>
                <c:pt idx="13">
                  <c:v>17.80907283606237</c:v>
                </c:pt>
                <c:pt idx="14">
                  <c:v>19.248697162638361</c:v>
                </c:pt>
                <c:pt idx="15">
                  <c:v>22.172233031239781</c:v>
                </c:pt>
                <c:pt idx="16">
                  <c:v>20.489729034923691</c:v>
                </c:pt>
                <c:pt idx="17">
                  <c:v>20.452195409934749</c:v>
                </c:pt>
                <c:pt idx="18">
                  <c:v>19.523994711914931</c:v>
                </c:pt>
                <c:pt idx="19">
                  <c:v>20.654672361983359</c:v>
                </c:pt>
                <c:pt idx="20">
                  <c:v>20.997390255729972</c:v>
                </c:pt>
                <c:pt idx="21">
                  <c:v>22.562360610328039</c:v>
                </c:pt>
                <c:pt idx="22">
                  <c:v>22.02436588967138</c:v>
                </c:pt>
                <c:pt idx="23">
                  <c:v>22.092070864331021</c:v>
                </c:pt>
              </c:numCache>
            </c:numRef>
          </c:val>
          <c:smooth val="0"/>
          <c:extLst>
            <c:ext xmlns:c16="http://schemas.microsoft.com/office/drawing/2014/chart" uri="{C3380CC4-5D6E-409C-BE32-E72D297353CC}">
              <c16:uniqueId val="{00000002-F844-4365-A8A9-06CCD0399C59}"/>
            </c:ext>
          </c:extLst>
        </c:ser>
        <c:dLbls>
          <c:showLegendKey val="0"/>
          <c:showVal val="0"/>
          <c:showCatName val="0"/>
          <c:showSerName val="0"/>
          <c:showPercent val="0"/>
          <c:showBubbleSize val="0"/>
        </c:dLbls>
        <c:smooth val="0"/>
        <c:axId val="50100001"/>
        <c:axId val="50100002"/>
      </c:lineChart>
      <c:dateAx>
        <c:axId val="50100001"/>
        <c:scaling>
          <c:orientation val="minMax"/>
        </c:scaling>
        <c:delete val="0"/>
        <c:axPos val="b"/>
        <c:numFmt formatCode="mm/yy" sourceLinked="0"/>
        <c:majorTickMark val="out"/>
        <c:minorTickMark val="none"/>
        <c:tickLblPos val="nextTo"/>
        <c:crossAx val="50100002"/>
        <c:crosses val="autoZero"/>
        <c:auto val="1"/>
        <c:lblOffset val="100"/>
        <c:baseTimeUnit val="months"/>
        <c:majorUnit val="3"/>
        <c:majorTimeUnit val="months"/>
      </c:dateAx>
      <c:valAx>
        <c:axId val="50100002"/>
        <c:scaling>
          <c:orientation val="minMax"/>
        </c:scaling>
        <c:delete val="0"/>
        <c:axPos val="l"/>
        <c:majorGridlines/>
        <c:numFmt formatCode="#\ ##0.0" sourceLinked="1"/>
        <c:majorTickMark val="out"/>
        <c:minorTickMark val="none"/>
        <c:tickLblPos val="nextTo"/>
        <c:crossAx val="5010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Asthme et BPCO (R03)</a:t>
            </a:r>
          </a:p>
        </c:rich>
      </c:tx>
      <c:overlay val="0"/>
    </c:title>
    <c:autoTitleDeleted val="0"/>
    <c:plotArea>
      <c:layout/>
      <c:lineChart>
        <c:grouping val="standard"/>
        <c:varyColors val="0"/>
        <c:ser>
          <c:idx val="0"/>
          <c:order val="0"/>
          <c:tx>
            <c:v>Réel</c:v>
          </c:tx>
          <c:spPr>
            <a:ln w="28575">
              <a:solidFill>
                <a:srgbClr val="000000"/>
              </a:solidFill>
            </a:ln>
          </c:spPr>
          <c:marker>
            <c:symbol val="none"/>
          </c:marker>
          <c:cat>
            <c:numRef>
              <c:f>Backtest!$A$146:$A$169</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Backtest!$C$146:$C$169</c:f>
              <c:numCache>
                <c:formatCode>#\ ##0.0</c:formatCode>
                <c:ptCount val="24"/>
                <c:pt idx="0">
                  <c:v>252</c:v>
                </c:pt>
                <c:pt idx="1">
                  <c:v>196</c:v>
                </c:pt>
                <c:pt idx="2">
                  <c:v>209</c:v>
                </c:pt>
                <c:pt idx="3">
                  <c:v>222</c:v>
                </c:pt>
                <c:pt idx="4">
                  <c:v>224.25</c:v>
                </c:pt>
                <c:pt idx="5">
                  <c:v>269</c:v>
                </c:pt>
                <c:pt idx="6">
                  <c:v>229</c:v>
                </c:pt>
                <c:pt idx="7">
                  <c:v>167</c:v>
                </c:pt>
                <c:pt idx="8">
                  <c:v>101</c:v>
                </c:pt>
                <c:pt idx="9">
                  <c:v>90</c:v>
                </c:pt>
                <c:pt idx="10">
                  <c:v>159</c:v>
                </c:pt>
                <c:pt idx="11">
                  <c:v>205</c:v>
                </c:pt>
                <c:pt idx="12">
                  <c:v>327</c:v>
                </c:pt>
                <c:pt idx="13">
                  <c:v>311</c:v>
                </c:pt>
                <c:pt idx="14">
                  <c:v>402</c:v>
                </c:pt>
                <c:pt idx="15">
                  <c:v>392</c:v>
                </c:pt>
                <c:pt idx="16">
                  <c:v>226</c:v>
                </c:pt>
                <c:pt idx="17">
                  <c:v>257</c:v>
                </c:pt>
                <c:pt idx="18">
                  <c:v>226</c:v>
                </c:pt>
                <c:pt idx="19">
                  <c:v>298.29166666999998</c:v>
                </c:pt>
                <c:pt idx="20">
                  <c:v>142</c:v>
                </c:pt>
                <c:pt idx="21">
                  <c:v>115</c:v>
                </c:pt>
                <c:pt idx="22">
                  <c:v>145</c:v>
                </c:pt>
                <c:pt idx="23">
                  <c:v>121.416666667</c:v>
                </c:pt>
              </c:numCache>
            </c:numRef>
          </c:val>
          <c:smooth val="0"/>
          <c:extLst>
            <c:ext xmlns:c16="http://schemas.microsoft.com/office/drawing/2014/chart" uri="{C3380CC4-5D6E-409C-BE32-E72D297353CC}">
              <c16:uniqueId val="{00000000-45A4-4985-BB23-53798B047D7A}"/>
            </c:ext>
          </c:extLst>
        </c:ser>
        <c:ser>
          <c:idx val="1"/>
          <c:order val="1"/>
          <c:tx>
            <c:v>Tendance + saisonnalité</c:v>
          </c:tx>
          <c:spPr>
            <a:ln w="22225">
              <a:solidFill>
                <a:srgbClr val="1F3864"/>
              </a:solidFill>
              <a:prstDash val="dash"/>
            </a:ln>
          </c:spPr>
          <c:marker>
            <c:symbol val="none"/>
          </c:marker>
          <c:cat>
            <c:numRef>
              <c:f>Backtest!$A$146:$A$169</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Backtest!$F$146:$F$169</c:f>
              <c:numCache>
                <c:formatCode>#\ ##0.0</c:formatCode>
                <c:ptCount val="24"/>
                <c:pt idx="0">
                  <c:v>226.8756676808658</c:v>
                </c:pt>
                <c:pt idx="1">
                  <c:v>182.27345970828591</c:v>
                </c:pt>
                <c:pt idx="2">
                  <c:v>271.01799505948833</c:v>
                </c:pt>
                <c:pt idx="3">
                  <c:v>225.95886913314169</c:v>
                </c:pt>
                <c:pt idx="4">
                  <c:v>216.80152912067521</c:v>
                </c:pt>
                <c:pt idx="5">
                  <c:v>209.93087797619029</c:v>
                </c:pt>
                <c:pt idx="6">
                  <c:v>200.63212365591411</c:v>
                </c:pt>
                <c:pt idx="7">
                  <c:v>172.450911458332</c:v>
                </c:pt>
                <c:pt idx="8">
                  <c:v>187.6260673624256</c:v>
                </c:pt>
                <c:pt idx="9">
                  <c:v>135.6572916666627</c:v>
                </c:pt>
                <c:pt idx="10">
                  <c:v>115.25427631578511</c:v>
                </c:pt>
                <c:pt idx="11">
                  <c:v>164.10473790321981</c:v>
                </c:pt>
                <c:pt idx="12">
                  <c:v>254.45386904761349</c:v>
                </c:pt>
                <c:pt idx="13">
                  <c:v>208.4933101172974</c:v>
                </c:pt>
                <c:pt idx="14">
                  <c:v>283.10679347826061</c:v>
                </c:pt>
                <c:pt idx="15">
                  <c:v>263.12281249999961</c:v>
                </c:pt>
                <c:pt idx="16">
                  <c:v>259.64121769286129</c:v>
                </c:pt>
                <c:pt idx="17">
                  <c:v>264.98462164750902</c:v>
                </c:pt>
                <c:pt idx="18">
                  <c:v>244.69536619635781</c:v>
                </c:pt>
                <c:pt idx="19">
                  <c:v>208.59845114942459</c:v>
                </c:pt>
                <c:pt idx="20">
                  <c:v>210.71892579071289</c:v>
                </c:pt>
                <c:pt idx="21">
                  <c:v>169.04184952993089</c:v>
                </c:pt>
                <c:pt idx="22">
                  <c:v>166.09220389819501</c:v>
                </c:pt>
                <c:pt idx="23">
                  <c:v>210.47099555074479</c:v>
                </c:pt>
              </c:numCache>
            </c:numRef>
          </c:val>
          <c:smooth val="0"/>
          <c:extLst>
            <c:ext xmlns:c16="http://schemas.microsoft.com/office/drawing/2014/chart" uri="{C3380CC4-5D6E-409C-BE32-E72D297353CC}">
              <c16:uniqueId val="{00000001-45A4-4985-BB23-53798B047D7A}"/>
            </c:ext>
          </c:extLst>
        </c:ser>
        <c:ser>
          <c:idx val="2"/>
          <c:order val="2"/>
          <c:tx>
            <c:v>Lissage simple</c:v>
          </c:tx>
          <c:spPr>
            <a:ln w="22225">
              <a:solidFill>
                <a:srgbClr val="ED7D31"/>
              </a:solidFill>
              <a:prstDash val="sysDash"/>
            </a:ln>
          </c:spPr>
          <c:marker>
            <c:symbol val="none"/>
          </c:marker>
          <c:cat>
            <c:numRef>
              <c:f>Backtest!$A$146:$A$169</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Backtest!$G$146:$G$169</c:f>
              <c:numCache>
                <c:formatCode>#\ ##0.0</c:formatCode>
                <c:ptCount val="24"/>
                <c:pt idx="0">
                  <c:v>125.6466706250212</c:v>
                </c:pt>
                <c:pt idx="1">
                  <c:v>200.3847370041467</c:v>
                </c:pt>
                <c:pt idx="2">
                  <c:v>203.8928603230928</c:v>
                </c:pt>
                <c:pt idx="3">
                  <c:v>207.19079608729251</c:v>
                </c:pt>
                <c:pt idx="4">
                  <c:v>195.7436817647019</c:v>
                </c:pt>
                <c:pt idx="5">
                  <c:v>237.21178867195979</c:v>
                </c:pt>
                <c:pt idx="6">
                  <c:v>249.95031339176461</c:v>
                </c:pt>
                <c:pt idx="7">
                  <c:v>244.07614446956441</c:v>
                </c:pt>
                <c:pt idx="8">
                  <c:v>187.4017375636985</c:v>
                </c:pt>
                <c:pt idx="9">
                  <c:v>128.19106272477879</c:v>
                </c:pt>
                <c:pt idx="10">
                  <c:v>98.775870980920544</c:v>
                </c:pt>
                <c:pt idx="11">
                  <c:v>137.9757230073385</c:v>
                </c:pt>
                <c:pt idx="12">
                  <c:v>194.31800439557449</c:v>
                </c:pt>
                <c:pt idx="13">
                  <c:v>295.30510023246842</c:v>
                </c:pt>
                <c:pt idx="14">
                  <c:v>319.11044204258911</c:v>
                </c:pt>
                <c:pt idx="15">
                  <c:v>390.27544841712211</c:v>
                </c:pt>
                <c:pt idx="16">
                  <c:v>353.85262049403019</c:v>
                </c:pt>
                <c:pt idx="17">
                  <c:v>271.9274604982644</c:v>
                </c:pt>
                <c:pt idx="18">
                  <c:v>250.54768854859731</c:v>
                </c:pt>
                <c:pt idx="19">
                  <c:v>237.01097166253439</c:v>
                </c:pt>
                <c:pt idx="20">
                  <c:v>279.95617951185739</c:v>
                </c:pt>
                <c:pt idx="21">
                  <c:v>173.1490445895698</c:v>
                </c:pt>
                <c:pt idx="22">
                  <c:v>123.12475524461109</c:v>
                </c:pt>
                <c:pt idx="23">
                  <c:v>137.02762884857529</c:v>
                </c:pt>
              </c:numCache>
            </c:numRef>
          </c:val>
          <c:smooth val="0"/>
          <c:extLst>
            <c:ext xmlns:c16="http://schemas.microsoft.com/office/drawing/2014/chart" uri="{C3380CC4-5D6E-409C-BE32-E72D297353CC}">
              <c16:uniqueId val="{00000002-45A4-4985-BB23-53798B047D7A}"/>
            </c:ext>
          </c:extLst>
        </c:ser>
        <c:dLbls>
          <c:showLegendKey val="0"/>
          <c:showVal val="0"/>
          <c:showCatName val="0"/>
          <c:showSerName val="0"/>
          <c:showPercent val="0"/>
          <c:showBubbleSize val="0"/>
        </c:dLbls>
        <c:smooth val="0"/>
        <c:axId val="50110001"/>
        <c:axId val="50110002"/>
      </c:lineChart>
      <c:dateAx>
        <c:axId val="50110001"/>
        <c:scaling>
          <c:orientation val="minMax"/>
        </c:scaling>
        <c:delete val="0"/>
        <c:axPos val="b"/>
        <c:numFmt formatCode="mm/yy" sourceLinked="0"/>
        <c:majorTickMark val="out"/>
        <c:minorTickMark val="none"/>
        <c:tickLblPos val="nextTo"/>
        <c:crossAx val="50110002"/>
        <c:crosses val="autoZero"/>
        <c:auto val="1"/>
        <c:lblOffset val="100"/>
        <c:baseTimeUnit val="months"/>
        <c:majorUnit val="3"/>
        <c:majorTimeUnit val="months"/>
      </c:dateAx>
      <c:valAx>
        <c:axId val="50110002"/>
        <c:scaling>
          <c:orientation val="minMax"/>
        </c:scaling>
        <c:delete val="0"/>
        <c:axPos val="l"/>
        <c:majorGridlines/>
        <c:numFmt formatCode="#\ ##0.0" sourceLinked="1"/>
        <c:majorTickMark val="out"/>
        <c:minorTickMark val="none"/>
        <c:tickLblPos val="nextTo"/>
        <c:crossAx val="5011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Antihistaminiques (R06)</a:t>
            </a:r>
          </a:p>
        </c:rich>
      </c:tx>
      <c:overlay val="0"/>
    </c:title>
    <c:autoTitleDeleted val="0"/>
    <c:plotArea>
      <c:layout/>
      <c:lineChart>
        <c:grouping val="standard"/>
        <c:varyColors val="0"/>
        <c:ser>
          <c:idx val="0"/>
          <c:order val="0"/>
          <c:tx>
            <c:v>Réel</c:v>
          </c:tx>
          <c:spPr>
            <a:ln w="28575">
              <a:solidFill>
                <a:srgbClr val="000000"/>
              </a:solidFill>
            </a:ln>
          </c:spPr>
          <c:marker>
            <c:symbol val="none"/>
          </c:marker>
          <c:cat>
            <c:numRef>
              <c:f>Backtest!$A$170:$A$193</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Backtest!$C$170:$C$193</c:f>
              <c:numCache>
                <c:formatCode>#\ ##0.0</c:formatCode>
                <c:ptCount val="24"/>
                <c:pt idx="0">
                  <c:v>52</c:v>
                </c:pt>
                <c:pt idx="1">
                  <c:v>46.6</c:v>
                </c:pt>
                <c:pt idx="2">
                  <c:v>49.1</c:v>
                </c:pt>
                <c:pt idx="3">
                  <c:v>54</c:v>
                </c:pt>
                <c:pt idx="4">
                  <c:v>39.06</c:v>
                </c:pt>
                <c:pt idx="5">
                  <c:v>85.5</c:v>
                </c:pt>
                <c:pt idx="6">
                  <c:v>201.1</c:v>
                </c:pt>
                <c:pt idx="7">
                  <c:v>213.04</c:v>
                </c:pt>
                <c:pt idx="8">
                  <c:v>120.8</c:v>
                </c:pt>
                <c:pt idx="9">
                  <c:v>122.2</c:v>
                </c:pt>
                <c:pt idx="10">
                  <c:v>103.1</c:v>
                </c:pt>
                <c:pt idx="11">
                  <c:v>88.1</c:v>
                </c:pt>
                <c:pt idx="12">
                  <c:v>76.900000000000006</c:v>
                </c:pt>
                <c:pt idx="13">
                  <c:v>48.4</c:v>
                </c:pt>
                <c:pt idx="14">
                  <c:v>60.1</c:v>
                </c:pt>
                <c:pt idx="15">
                  <c:v>43.3</c:v>
                </c:pt>
                <c:pt idx="16">
                  <c:v>69.5</c:v>
                </c:pt>
                <c:pt idx="17">
                  <c:v>169.5</c:v>
                </c:pt>
                <c:pt idx="18">
                  <c:v>190.6</c:v>
                </c:pt>
                <c:pt idx="19">
                  <c:v>135.4</c:v>
                </c:pt>
                <c:pt idx="20">
                  <c:v>156.04</c:v>
                </c:pt>
                <c:pt idx="21">
                  <c:v>105.2</c:v>
                </c:pt>
                <c:pt idx="22">
                  <c:v>97.3</c:v>
                </c:pt>
                <c:pt idx="23">
                  <c:v>109.1</c:v>
                </c:pt>
              </c:numCache>
            </c:numRef>
          </c:val>
          <c:smooth val="0"/>
          <c:extLst>
            <c:ext xmlns:c16="http://schemas.microsoft.com/office/drawing/2014/chart" uri="{C3380CC4-5D6E-409C-BE32-E72D297353CC}">
              <c16:uniqueId val="{00000000-9E6F-4E61-933E-D13EE928E135}"/>
            </c:ext>
          </c:extLst>
        </c:ser>
        <c:ser>
          <c:idx val="1"/>
          <c:order val="1"/>
          <c:tx>
            <c:v>Tendance + saisonnalité</c:v>
          </c:tx>
          <c:spPr>
            <a:ln w="22225">
              <a:solidFill>
                <a:srgbClr val="1F3864"/>
              </a:solidFill>
              <a:prstDash val="dash"/>
            </a:ln>
          </c:spPr>
          <c:marker>
            <c:symbol val="none"/>
          </c:marker>
          <c:cat>
            <c:numRef>
              <c:f>Backtest!$A$170:$A$193</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Backtest!$F$170:$F$193</c:f>
              <c:numCache>
                <c:formatCode>#\ ##0.0</c:formatCode>
                <c:ptCount val="24"/>
                <c:pt idx="0">
                  <c:v>70.823529411764696</c:v>
                </c:pt>
                <c:pt idx="1">
                  <c:v>56.359139784956248</c:v>
                </c:pt>
                <c:pt idx="2">
                  <c:v>48.357017543859627</c:v>
                </c:pt>
                <c:pt idx="3">
                  <c:v>61.505208333333542</c:v>
                </c:pt>
                <c:pt idx="4">
                  <c:v>53.523573200992622</c:v>
                </c:pt>
                <c:pt idx="5">
                  <c:v>94.344081632653115</c:v>
                </c:pt>
                <c:pt idx="6">
                  <c:v>132.0906221198162</c:v>
                </c:pt>
                <c:pt idx="7">
                  <c:v>161.65383184524049</c:v>
                </c:pt>
                <c:pt idx="8">
                  <c:v>146.80391705069539</c:v>
                </c:pt>
                <c:pt idx="9">
                  <c:v>114.7387301587347</c:v>
                </c:pt>
                <c:pt idx="10">
                  <c:v>90.773928571432833</c:v>
                </c:pt>
                <c:pt idx="11">
                  <c:v>82.385708525349216</c:v>
                </c:pt>
                <c:pt idx="12">
                  <c:v>74.621411564628843</c:v>
                </c:pt>
                <c:pt idx="13">
                  <c:v>63.008048806034871</c:v>
                </c:pt>
                <c:pt idx="14">
                  <c:v>57.676180124223443</c:v>
                </c:pt>
                <c:pt idx="15">
                  <c:v>70.113607142857234</c:v>
                </c:pt>
                <c:pt idx="16">
                  <c:v>58.754497153700022</c:v>
                </c:pt>
                <c:pt idx="17">
                  <c:v>103.1452698412696</c:v>
                </c:pt>
                <c:pt idx="18">
                  <c:v>159.95770070337159</c:v>
                </c:pt>
                <c:pt idx="19">
                  <c:v>184.48280952381009</c:v>
                </c:pt>
                <c:pt idx="20">
                  <c:v>149.14793504498681</c:v>
                </c:pt>
                <c:pt idx="21">
                  <c:v>125.54525108225241</c:v>
                </c:pt>
                <c:pt idx="22">
                  <c:v>101.3546749482413</c:v>
                </c:pt>
                <c:pt idx="23">
                  <c:v>90.741674347159332</c:v>
                </c:pt>
              </c:numCache>
            </c:numRef>
          </c:val>
          <c:smooth val="0"/>
          <c:extLst>
            <c:ext xmlns:c16="http://schemas.microsoft.com/office/drawing/2014/chart" uri="{C3380CC4-5D6E-409C-BE32-E72D297353CC}">
              <c16:uniqueId val="{00000001-9E6F-4E61-933E-D13EE928E135}"/>
            </c:ext>
          </c:extLst>
        </c:ser>
        <c:ser>
          <c:idx val="2"/>
          <c:order val="2"/>
          <c:tx>
            <c:v>Holt-Winters (tendance + saison)</c:v>
          </c:tx>
          <c:spPr>
            <a:ln w="22225">
              <a:solidFill>
                <a:srgbClr val="ED7D31"/>
              </a:solidFill>
              <a:prstDash val="sysDash"/>
            </a:ln>
          </c:spPr>
          <c:marker>
            <c:symbol val="none"/>
          </c:marker>
          <c:cat>
            <c:numRef>
              <c:f>Backtest!$A$170:$A$193</c:f>
              <c:numCache>
                <c:formatCode>mmm\ yyyy</c:formatCode>
                <c:ptCount val="24"/>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numCache>
            </c:numRef>
          </c:cat>
          <c:val>
            <c:numRef>
              <c:f>Backtest!$J$170:$J$193</c:f>
              <c:numCache>
                <c:formatCode>#\ ##0.0</c:formatCode>
                <c:ptCount val="24"/>
                <c:pt idx="0">
                  <c:v>54.725941451045998</c:v>
                </c:pt>
                <c:pt idx="1">
                  <c:v>39.620198875685603</c:v>
                </c:pt>
                <c:pt idx="2">
                  <c:v>31.249306778499658</c:v>
                </c:pt>
                <c:pt idx="3">
                  <c:v>55.12157641571752</c:v>
                </c:pt>
                <c:pt idx="4">
                  <c:v>48.058779976784876</c:v>
                </c:pt>
                <c:pt idx="5">
                  <c:v>87.322666643162037</c:v>
                </c:pt>
                <c:pt idx="6">
                  <c:v>125.48967436075451</c:v>
                </c:pt>
                <c:pt idx="7">
                  <c:v>161.65736559809761</c:v>
                </c:pt>
                <c:pt idx="8">
                  <c:v>168.78761686111909</c:v>
                </c:pt>
                <c:pt idx="9">
                  <c:v>114.738457354581</c:v>
                </c:pt>
                <c:pt idx="10">
                  <c:v>90.774187775032431</c:v>
                </c:pt>
                <c:pt idx="11">
                  <c:v>82.383649653816136</c:v>
                </c:pt>
                <c:pt idx="12">
                  <c:v>74.621052796008996</c:v>
                </c:pt>
                <c:pt idx="13">
                  <c:v>63.009398068816651</c:v>
                </c:pt>
                <c:pt idx="14">
                  <c:v>57.633724943222298</c:v>
                </c:pt>
                <c:pt idx="15">
                  <c:v>70.114925296156144</c:v>
                </c:pt>
                <c:pt idx="16">
                  <c:v>58.752381110239313</c:v>
                </c:pt>
                <c:pt idx="17">
                  <c:v>103.1453503911065</c:v>
                </c:pt>
                <c:pt idx="18">
                  <c:v>159.95663358471839</c:v>
                </c:pt>
                <c:pt idx="19">
                  <c:v>184.5228882666529</c:v>
                </c:pt>
                <c:pt idx="20">
                  <c:v>149.14794168122651</c:v>
                </c:pt>
                <c:pt idx="21">
                  <c:v>125.5520192218117</c:v>
                </c:pt>
                <c:pt idx="22">
                  <c:v>101.3546574835331</c:v>
                </c:pt>
                <c:pt idx="23">
                  <c:v>90.741686182948996</c:v>
                </c:pt>
              </c:numCache>
            </c:numRef>
          </c:val>
          <c:smooth val="0"/>
          <c:extLst>
            <c:ext xmlns:c16="http://schemas.microsoft.com/office/drawing/2014/chart" uri="{C3380CC4-5D6E-409C-BE32-E72D297353CC}">
              <c16:uniqueId val="{00000002-9E6F-4E61-933E-D13EE928E135}"/>
            </c:ext>
          </c:extLst>
        </c:ser>
        <c:dLbls>
          <c:showLegendKey val="0"/>
          <c:showVal val="0"/>
          <c:showCatName val="0"/>
          <c:showSerName val="0"/>
          <c:showPercent val="0"/>
          <c:showBubbleSize val="0"/>
        </c:dLbls>
        <c:smooth val="0"/>
        <c:axId val="50120001"/>
        <c:axId val="50120002"/>
      </c:lineChart>
      <c:dateAx>
        <c:axId val="50120001"/>
        <c:scaling>
          <c:orientation val="minMax"/>
        </c:scaling>
        <c:delete val="0"/>
        <c:axPos val="b"/>
        <c:numFmt formatCode="mm/yy" sourceLinked="0"/>
        <c:majorTickMark val="out"/>
        <c:minorTickMark val="none"/>
        <c:tickLblPos val="nextTo"/>
        <c:crossAx val="50120002"/>
        <c:crosses val="autoZero"/>
        <c:auto val="1"/>
        <c:lblOffset val="100"/>
        <c:baseTimeUnit val="months"/>
        <c:majorUnit val="3"/>
        <c:majorTimeUnit val="months"/>
      </c:dateAx>
      <c:valAx>
        <c:axId val="50120002"/>
        <c:scaling>
          <c:orientation val="minMax"/>
        </c:scaling>
        <c:delete val="0"/>
        <c:axPos val="l"/>
        <c:majorGridlines/>
        <c:numFmt formatCode="#\ ##0.0" sourceLinked="1"/>
        <c:majorTickMark val="out"/>
        <c:minorTickMark val="none"/>
        <c:tickLblPos val="nextTo"/>
        <c:crossAx val="5012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0</xdr:colOff>
      <xdr:row>37</xdr:row>
      <xdr:rowOff>0</xdr:rowOff>
    </xdr:from>
    <xdr:to>
      <xdr:col>9</xdr:col>
      <xdr:colOff>1085850</xdr:colOff>
      <xdr:row>56</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20</xdr:row>
      <xdr:rowOff>0</xdr:rowOff>
    </xdr:from>
    <xdr:to>
      <xdr:col>5</xdr:col>
      <xdr:colOff>142875</xdr:colOff>
      <xdr:row>36</xdr:row>
      <xdr:rowOff>95250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20</xdr:row>
      <xdr:rowOff>0</xdr:rowOff>
    </xdr:from>
    <xdr:to>
      <xdr:col>11</xdr:col>
      <xdr:colOff>57150</xdr:colOff>
      <xdr:row>36</xdr:row>
      <xdr:rowOff>95250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58</xdr:row>
      <xdr:rowOff>0</xdr:rowOff>
    </xdr:from>
    <xdr:to>
      <xdr:col>5</xdr:col>
      <xdr:colOff>2019300</xdr:colOff>
      <xdr:row>75</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77</xdr:row>
      <xdr:rowOff>0</xdr:rowOff>
    </xdr:from>
    <xdr:to>
      <xdr:col>3</xdr:col>
      <xdr:colOff>1362075</xdr:colOff>
      <xdr:row>91</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238125</xdr:colOff>
      <xdr:row>77</xdr:row>
      <xdr:rowOff>0</xdr:rowOff>
    </xdr:from>
    <xdr:to>
      <xdr:col>6</xdr:col>
      <xdr:colOff>800100</xdr:colOff>
      <xdr:row>91</xdr:row>
      <xdr:rowOff>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92</xdr:row>
      <xdr:rowOff>0</xdr:rowOff>
    </xdr:from>
    <xdr:to>
      <xdr:col>3</xdr:col>
      <xdr:colOff>1362075</xdr:colOff>
      <xdr:row>106</xdr:row>
      <xdr:rowOff>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238125</xdr:colOff>
      <xdr:row>92</xdr:row>
      <xdr:rowOff>0</xdr:rowOff>
    </xdr:from>
    <xdr:to>
      <xdr:col>6</xdr:col>
      <xdr:colOff>800100</xdr:colOff>
      <xdr:row>106</xdr:row>
      <xdr:rowOff>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107</xdr:row>
      <xdr:rowOff>0</xdr:rowOff>
    </xdr:from>
    <xdr:to>
      <xdr:col>3</xdr:col>
      <xdr:colOff>1362075</xdr:colOff>
      <xdr:row>121</xdr:row>
      <xdr:rowOff>0</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238125</xdr:colOff>
      <xdr:row>107</xdr:row>
      <xdr:rowOff>0</xdr:rowOff>
    </xdr:from>
    <xdr:to>
      <xdr:col>6</xdr:col>
      <xdr:colOff>800100</xdr:colOff>
      <xdr:row>121</xdr:row>
      <xdr:rowOff>0</xdr:rowOff>
    </xdr:to>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122</xdr:row>
      <xdr:rowOff>0</xdr:rowOff>
    </xdr:from>
    <xdr:to>
      <xdr:col>3</xdr:col>
      <xdr:colOff>1362075</xdr:colOff>
      <xdr:row>136</xdr:row>
      <xdr:rowOff>0</xdr:rowOff>
    </xdr:to>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238125</xdr:colOff>
      <xdr:row>122</xdr:row>
      <xdr:rowOff>0</xdr:rowOff>
    </xdr:from>
    <xdr:to>
      <xdr:col>6</xdr:col>
      <xdr:colOff>800100</xdr:colOff>
      <xdr:row>136</xdr:row>
      <xdr:rowOff>0</xdr:rowOff>
    </xdr:to>
    <xdr:graphicFrame macro="">
      <xdr:nvGraphicFramePr>
        <xdr:cNvPr id="10" name="Chart 9">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60"/>
  <sheetViews>
    <sheetView showGridLines="0" topLeftCell="A32" workbookViewId="0">
      <selection activeCell="K20" sqref="K20"/>
    </sheetView>
  </sheetViews>
  <sheetFormatPr baseColWidth="10" defaultColWidth="9.140625" defaultRowHeight="15" x14ac:dyDescent="0.25"/>
  <cols>
    <col min="1" max="1" width="2.7109375" customWidth="1"/>
    <col min="2" max="2" width="44.7109375" customWidth="1"/>
    <col min="3" max="9" width="12.7109375" customWidth="1"/>
    <col min="10" max="11" width="26.7109375" customWidth="1"/>
    <col min="12" max="14" width="12.7109375" customWidth="1"/>
  </cols>
  <sheetData>
    <row r="2" spans="2:11" ht="23.25" x14ac:dyDescent="0.25">
      <c r="B2" s="1" t="s">
        <v>0</v>
      </c>
    </row>
    <row r="3" spans="2:11" x14ac:dyDescent="0.25">
      <c r="B3" s="2" t="s">
        <v>1</v>
      </c>
    </row>
    <row r="5" spans="2:11" x14ac:dyDescent="0.25">
      <c r="B5" s="19" t="s">
        <v>2</v>
      </c>
      <c r="C5" s="19"/>
      <c r="D5" s="19" t="s">
        <v>3</v>
      </c>
      <c r="E5" s="19"/>
      <c r="F5" s="19" t="s">
        <v>4</v>
      </c>
      <c r="G5" s="19"/>
      <c r="H5" s="19" t="s">
        <v>5</v>
      </c>
      <c r="I5" s="19"/>
    </row>
    <row r="6" spans="2:11" ht="26.1" customHeight="1" x14ac:dyDescent="0.25">
      <c r="B6" s="20">
        <v>41641</v>
      </c>
      <c r="C6" s="20"/>
      <c r="D6" s="21">
        <v>43709</v>
      </c>
      <c r="E6" s="21"/>
      <c r="F6" s="22">
        <v>2098</v>
      </c>
      <c r="G6" s="22"/>
      <c r="H6" s="22">
        <v>8</v>
      </c>
      <c r="I6" s="22"/>
    </row>
    <row r="8" spans="2:11" ht="17.25" x14ac:dyDescent="0.25">
      <c r="B8" s="3" t="s">
        <v>6</v>
      </c>
    </row>
    <row r="9" spans="2:11" ht="32.1" customHeight="1" x14ac:dyDescent="0.25">
      <c r="B9" s="23" t="s">
        <v>7</v>
      </c>
      <c r="C9" s="23"/>
      <c r="D9" s="23"/>
      <c r="E9" s="23"/>
      <c r="F9" s="23"/>
      <c r="G9" s="23"/>
      <c r="H9" s="23"/>
      <c r="I9" s="23"/>
      <c r="J9" s="23"/>
      <c r="K9" s="23"/>
    </row>
    <row r="10" spans="2:11" ht="32.1" customHeight="1" x14ac:dyDescent="0.25">
      <c r="B10" s="23" t="s">
        <v>8</v>
      </c>
      <c r="C10" s="23"/>
      <c r="D10" s="23"/>
      <c r="E10" s="23"/>
      <c r="F10" s="23"/>
      <c r="G10" s="23"/>
      <c r="H10" s="23"/>
      <c r="I10" s="23"/>
      <c r="J10" s="23"/>
      <c r="K10" s="23"/>
    </row>
    <row r="11" spans="2:11" ht="32.1" customHeight="1" x14ac:dyDescent="0.25">
      <c r="B11" s="23" t="s">
        <v>9</v>
      </c>
      <c r="C11" s="23"/>
      <c r="D11" s="23"/>
      <c r="E11" s="23"/>
      <c r="F11" s="23"/>
      <c r="G11" s="23"/>
      <c r="H11" s="23"/>
      <c r="I11" s="23"/>
      <c r="J11" s="23"/>
      <c r="K11" s="23"/>
    </row>
    <row r="12" spans="2:11" ht="32.1" customHeight="1" x14ac:dyDescent="0.25">
      <c r="B12" s="23" t="s">
        <v>10</v>
      </c>
      <c r="C12" s="23"/>
      <c r="D12" s="23"/>
      <c r="E12" s="23"/>
      <c r="F12" s="23"/>
      <c r="G12" s="23"/>
      <c r="H12" s="23"/>
      <c r="I12" s="23"/>
      <c r="J12" s="23"/>
      <c r="K12" s="23"/>
    </row>
    <row r="13" spans="2:11" ht="32.1" customHeight="1" x14ac:dyDescent="0.25">
      <c r="B13" s="23" t="s">
        <v>11</v>
      </c>
      <c r="C13" s="23"/>
      <c r="D13" s="23"/>
      <c r="E13" s="23"/>
      <c r="F13" s="23"/>
      <c r="G13" s="23"/>
      <c r="H13" s="23"/>
      <c r="I13" s="23"/>
      <c r="J13" s="23"/>
      <c r="K13" s="23"/>
    </row>
    <row r="14" spans="2:11" ht="32.1" customHeight="1" x14ac:dyDescent="0.25">
      <c r="B14" s="23" t="s">
        <v>12</v>
      </c>
      <c r="C14" s="23"/>
      <c r="D14" s="23"/>
      <c r="E14" s="23"/>
      <c r="F14" s="23"/>
      <c r="G14" s="23"/>
      <c r="H14" s="23"/>
      <c r="I14" s="23"/>
      <c r="J14" s="23"/>
      <c r="K14" s="23"/>
    </row>
    <row r="16" spans="2:11" ht="17.25" x14ac:dyDescent="0.25">
      <c r="B16" s="3" t="s">
        <v>13</v>
      </c>
    </row>
    <row r="17" spans="2:14" ht="48" customHeight="1" x14ac:dyDescent="0.25">
      <c r="B17" s="4" t="s">
        <v>14</v>
      </c>
      <c r="C17" s="4" t="s">
        <v>15</v>
      </c>
      <c r="D17" s="4" t="s">
        <v>16</v>
      </c>
      <c r="E17" s="4" t="s">
        <v>17</v>
      </c>
      <c r="F17" s="4" t="s">
        <v>18</v>
      </c>
      <c r="G17" s="4" t="s">
        <v>19</v>
      </c>
      <c r="H17" s="4" t="s">
        <v>20</v>
      </c>
      <c r="I17" s="4" t="s">
        <v>21</v>
      </c>
      <c r="J17" s="4" t="s">
        <v>22</v>
      </c>
      <c r="K17" s="4" t="s">
        <v>23</v>
      </c>
    </row>
    <row r="18" spans="2:14" x14ac:dyDescent="0.25">
      <c r="B18" s="5" t="s">
        <v>24</v>
      </c>
      <c r="C18" s="6" t="s">
        <v>25</v>
      </c>
      <c r="D18" s="7">
        <v>8.302653618420093E-2</v>
      </c>
      <c r="E18" s="8">
        <v>5.6114242067486719E-2</v>
      </c>
      <c r="F18" s="6" t="s">
        <v>26</v>
      </c>
      <c r="G18" s="6" t="s">
        <v>27</v>
      </c>
      <c r="H18" s="6" t="s">
        <v>28</v>
      </c>
      <c r="I18" s="9">
        <v>0.53292447246087538</v>
      </c>
      <c r="J18" s="6" t="s">
        <v>29</v>
      </c>
      <c r="K18" s="6" t="s">
        <v>30</v>
      </c>
    </row>
    <row r="19" spans="2:14" x14ac:dyDescent="0.25">
      <c r="B19" s="5" t="s">
        <v>31</v>
      </c>
      <c r="C19" s="6" t="s">
        <v>32</v>
      </c>
      <c r="D19" s="7">
        <v>6.4476481725149096E-2</v>
      </c>
      <c r="E19" s="8">
        <v>2.5176825316177039E-2</v>
      </c>
      <c r="F19" s="6" t="s">
        <v>33</v>
      </c>
      <c r="G19" s="6" t="s">
        <v>27</v>
      </c>
      <c r="H19" s="6" t="s">
        <v>34</v>
      </c>
      <c r="I19" s="9">
        <v>0.53606273745075272</v>
      </c>
      <c r="J19" s="6" t="s">
        <v>35</v>
      </c>
      <c r="K19" s="6" t="s">
        <v>30</v>
      </c>
    </row>
    <row r="20" spans="2:14" x14ac:dyDescent="0.25">
      <c r="B20" s="5" t="s">
        <v>36</v>
      </c>
      <c r="C20" s="6" t="s">
        <v>37</v>
      </c>
      <c r="D20" s="7">
        <v>6.3508276430924868E-2</v>
      </c>
      <c r="E20" s="8">
        <v>-8.5300815770442906E-2</v>
      </c>
      <c r="F20" s="6" t="s">
        <v>38</v>
      </c>
      <c r="G20" s="6" t="s">
        <v>39</v>
      </c>
      <c r="H20" s="6" t="s">
        <v>40</v>
      </c>
      <c r="I20" s="9">
        <v>0.60170343081687838</v>
      </c>
      <c r="J20" s="6" t="s">
        <v>41</v>
      </c>
      <c r="K20" s="6" t="s">
        <v>42</v>
      </c>
    </row>
    <row r="21" spans="2:14" x14ac:dyDescent="0.25">
      <c r="B21" s="5" t="s">
        <v>43</v>
      </c>
      <c r="C21" s="6" t="s">
        <v>44</v>
      </c>
      <c r="D21" s="7">
        <v>0.49643861830506708</v>
      </c>
      <c r="E21" s="8">
        <v>5.3854107537019143E-2</v>
      </c>
      <c r="F21" s="6" t="s">
        <v>33</v>
      </c>
      <c r="G21" s="6" t="s">
        <v>45</v>
      </c>
      <c r="H21" s="6" t="s">
        <v>34</v>
      </c>
      <c r="I21" s="9">
        <v>0.52038850506745837</v>
      </c>
      <c r="J21" s="6" t="s">
        <v>35</v>
      </c>
      <c r="K21" s="6" t="s">
        <v>30</v>
      </c>
    </row>
    <row r="22" spans="2:14" x14ac:dyDescent="0.25">
      <c r="B22" s="5" t="s">
        <v>46</v>
      </c>
      <c r="C22" s="6" t="s">
        <v>47</v>
      </c>
      <c r="D22" s="7">
        <v>0.14403439519385899</v>
      </c>
      <c r="E22" s="8">
        <v>-6.7219565559354488E-2</v>
      </c>
      <c r="F22" s="6" t="s">
        <v>33</v>
      </c>
      <c r="G22" s="6" t="s">
        <v>48</v>
      </c>
      <c r="H22" s="6" t="s">
        <v>49</v>
      </c>
      <c r="I22" s="9">
        <v>0.62644869089250499</v>
      </c>
      <c r="J22" s="6" t="s">
        <v>29</v>
      </c>
      <c r="K22" s="6" t="s">
        <v>30</v>
      </c>
    </row>
    <row r="23" spans="2:14" x14ac:dyDescent="0.25">
      <c r="B23" s="5" t="s">
        <v>50</v>
      </c>
      <c r="C23" s="6" t="s">
        <v>51</v>
      </c>
      <c r="D23" s="7">
        <v>9.6556721739553195E-3</v>
      </c>
      <c r="E23" s="8">
        <v>-3.0687978608698541E-2</v>
      </c>
      <c r="F23" s="6" t="s">
        <v>33</v>
      </c>
      <c r="G23" s="6" t="s">
        <v>52</v>
      </c>
      <c r="H23" s="6" t="s">
        <v>53</v>
      </c>
      <c r="I23" s="9">
        <v>1.851300055470076</v>
      </c>
      <c r="J23" s="6" t="s">
        <v>54</v>
      </c>
      <c r="K23" s="6" t="s">
        <v>55</v>
      </c>
    </row>
    <row r="24" spans="2:14" x14ac:dyDescent="0.25">
      <c r="B24" s="5" t="s">
        <v>56</v>
      </c>
      <c r="C24" s="6" t="s">
        <v>57</v>
      </c>
      <c r="D24" s="7">
        <v>9.1022072827739234E-2</v>
      </c>
      <c r="E24" s="8">
        <v>0.21155900137305531</v>
      </c>
      <c r="F24" s="6" t="s">
        <v>58</v>
      </c>
      <c r="G24" s="6" t="s">
        <v>45</v>
      </c>
      <c r="H24" s="6" t="s">
        <v>59</v>
      </c>
      <c r="I24" s="9">
        <v>1.163345123071768</v>
      </c>
      <c r="J24" s="6" t="s">
        <v>41</v>
      </c>
      <c r="K24" s="6" t="s">
        <v>55</v>
      </c>
    </row>
    <row r="25" spans="2:14" x14ac:dyDescent="0.25">
      <c r="B25" s="5" t="s">
        <v>60</v>
      </c>
      <c r="C25" s="6" t="s">
        <v>61</v>
      </c>
      <c r="D25" s="7">
        <v>4.7837947159104617E-2</v>
      </c>
      <c r="E25" s="8">
        <v>0.10450179205990701</v>
      </c>
      <c r="F25" s="6" t="s">
        <v>48</v>
      </c>
      <c r="G25" s="6" t="s">
        <v>58</v>
      </c>
      <c r="H25" s="6" t="s">
        <v>28</v>
      </c>
      <c r="I25" s="9">
        <v>0.82521176660566808</v>
      </c>
      <c r="J25" s="6" t="s">
        <v>41</v>
      </c>
      <c r="K25" s="6" t="s">
        <v>30</v>
      </c>
    </row>
    <row r="27" spans="2:14" ht="17.25" x14ac:dyDescent="0.25">
      <c r="B27" s="3" t="s">
        <v>62</v>
      </c>
    </row>
    <row r="28" spans="2:14" x14ac:dyDescent="0.25">
      <c r="B28" s="4" t="s">
        <v>63</v>
      </c>
      <c r="C28" s="4" t="s">
        <v>33</v>
      </c>
      <c r="D28" s="4" t="s">
        <v>38</v>
      </c>
      <c r="E28" s="4" t="s">
        <v>64</v>
      </c>
      <c r="F28" s="4" t="s">
        <v>52</v>
      </c>
      <c r="G28" s="4" t="s">
        <v>48</v>
      </c>
      <c r="H28" s="4" t="s">
        <v>27</v>
      </c>
      <c r="I28" s="4" t="s">
        <v>45</v>
      </c>
      <c r="J28" s="4" t="s">
        <v>26</v>
      </c>
      <c r="K28" s="4" t="s">
        <v>39</v>
      </c>
      <c r="L28" s="4" t="s">
        <v>65</v>
      </c>
      <c r="M28" s="4" t="s">
        <v>66</v>
      </c>
      <c r="N28" s="4" t="s">
        <v>58</v>
      </c>
    </row>
    <row r="29" spans="2:14" x14ac:dyDescent="0.25">
      <c r="B29" s="5" t="s">
        <v>67</v>
      </c>
      <c r="C29" s="10">
        <v>104</v>
      </c>
      <c r="D29" s="10">
        <v>97</v>
      </c>
      <c r="E29" s="10">
        <v>97</v>
      </c>
      <c r="F29" s="10">
        <v>103</v>
      </c>
      <c r="G29" s="10">
        <v>96</v>
      </c>
      <c r="H29" s="10">
        <v>93</v>
      </c>
      <c r="I29" s="10">
        <v>102</v>
      </c>
      <c r="J29" s="10">
        <v>107</v>
      </c>
      <c r="K29" s="10">
        <v>98</v>
      </c>
      <c r="L29" s="10">
        <v>97</v>
      </c>
      <c r="M29" s="10">
        <v>103</v>
      </c>
      <c r="N29" s="10">
        <v>103</v>
      </c>
    </row>
    <row r="30" spans="2:14" x14ac:dyDescent="0.25">
      <c r="B30" s="5" t="s">
        <v>68</v>
      </c>
      <c r="C30" s="10">
        <v>118</v>
      </c>
      <c r="D30" s="10">
        <v>118</v>
      </c>
      <c r="E30" s="10">
        <v>98</v>
      </c>
      <c r="F30" s="10">
        <v>94</v>
      </c>
      <c r="G30" s="10">
        <v>94</v>
      </c>
      <c r="H30" s="10">
        <v>90</v>
      </c>
      <c r="I30" s="10">
        <v>95</v>
      </c>
      <c r="J30" s="10">
        <v>92</v>
      </c>
      <c r="K30" s="10">
        <v>100</v>
      </c>
      <c r="L30" s="10">
        <v>98</v>
      </c>
      <c r="M30" s="10">
        <v>96</v>
      </c>
      <c r="N30" s="10">
        <v>106</v>
      </c>
    </row>
    <row r="31" spans="2:14" x14ac:dyDescent="0.25">
      <c r="B31" s="5" t="s">
        <v>69</v>
      </c>
      <c r="C31" s="10">
        <v>115</v>
      </c>
      <c r="D31" s="10">
        <v>121</v>
      </c>
      <c r="E31" s="10">
        <v>102</v>
      </c>
      <c r="F31" s="10">
        <v>97</v>
      </c>
      <c r="G31" s="10">
        <v>96</v>
      </c>
      <c r="H31" s="10">
        <v>96</v>
      </c>
      <c r="I31" s="10">
        <v>89</v>
      </c>
      <c r="J31" s="10">
        <v>89</v>
      </c>
      <c r="K31" s="10">
        <v>86</v>
      </c>
      <c r="L31" s="10">
        <v>104</v>
      </c>
      <c r="M31" s="10">
        <v>107</v>
      </c>
      <c r="N31" s="10">
        <v>98</v>
      </c>
    </row>
    <row r="32" spans="2:14" x14ac:dyDescent="0.25">
      <c r="B32" s="5" t="s">
        <v>70</v>
      </c>
      <c r="C32" s="10">
        <v>143</v>
      </c>
      <c r="D32" s="10">
        <v>118</v>
      </c>
      <c r="E32" s="10">
        <v>97</v>
      </c>
      <c r="F32" s="10">
        <v>87</v>
      </c>
      <c r="G32" s="10">
        <v>75</v>
      </c>
      <c r="H32" s="10">
        <v>67</v>
      </c>
      <c r="I32" s="10">
        <v>63</v>
      </c>
      <c r="J32" s="10">
        <v>67</v>
      </c>
      <c r="K32" s="10">
        <v>104</v>
      </c>
      <c r="L32" s="10">
        <v>138</v>
      </c>
      <c r="M32" s="10">
        <v>106</v>
      </c>
      <c r="N32" s="10">
        <v>135</v>
      </c>
    </row>
    <row r="33" spans="2:14" x14ac:dyDescent="0.25">
      <c r="B33" s="5" t="s">
        <v>71</v>
      </c>
      <c r="C33" s="10">
        <v>116</v>
      </c>
      <c r="D33" s="10">
        <v>100</v>
      </c>
      <c r="E33" s="10">
        <v>93</v>
      </c>
      <c r="F33" s="10">
        <v>91</v>
      </c>
      <c r="G33" s="10">
        <v>85</v>
      </c>
      <c r="H33" s="10">
        <v>89</v>
      </c>
      <c r="I33" s="10">
        <v>94</v>
      </c>
      <c r="J33" s="10">
        <v>103</v>
      </c>
      <c r="K33" s="10">
        <v>104</v>
      </c>
      <c r="L33" s="10">
        <v>106</v>
      </c>
      <c r="M33" s="10">
        <v>105</v>
      </c>
      <c r="N33" s="10">
        <v>113</v>
      </c>
    </row>
    <row r="34" spans="2:14" x14ac:dyDescent="0.25">
      <c r="B34" s="5" t="s">
        <v>72</v>
      </c>
      <c r="C34" s="10">
        <v>127</v>
      </c>
      <c r="D34" s="10">
        <v>91</v>
      </c>
      <c r="E34" s="10">
        <v>105</v>
      </c>
      <c r="F34" s="10">
        <v>81</v>
      </c>
      <c r="G34" s="10">
        <v>103</v>
      </c>
      <c r="H34" s="10">
        <v>99</v>
      </c>
      <c r="I34" s="10">
        <v>81</v>
      </c>
      <c r="J34" s="10">
        <v>103</v>
      </c>
      <c r="K34" s="10">
        <v>88</v>
      </c>
      <c r="L34" s="10">
        <v>85</v>
      </c>
      <c r="M34" s="10">
        <v>114</v>
      </c>
      <c r="N34" s="10">
        <v>123</v>
      </c>
    </row>
    <row r="35" spans="2:14" x14ac:dyDescent="0.25">
      <c r="B35" s="5" t="s">
        <v>73</v>
      </c>
      <c r="C35" s="10">
        <v>126</v>
      </c>
      <c r="D35" s="10">
        <v>120</v>
      </c>
      <c r="E35" s="10">
        <v>111</v>
      </c>
      <c r="F35" s="10">
        <v>103</v>
      </c>
      <c r="G35" s="10">
        <v>89</v>
      </c>
      <c r="H35" s="10">
        <v>77</v>
      </c>
      <c r="I35" s="10">
        <v>52</v>
      </c>
      <c r="J35" s="10">
        <v>55</v>
      </c>
      <c r="K35" s="10">
        <v>78</v>
      </c>
      <c r="L35" s="10">
        <v>130</v>
      </c>
      <c r="M35" s="10">
        <v>110</v>
      </c>
      <c r="N35" s="10">
        <v>148</v>
      </c>
    </row>
    <row r="36" spans="2:14" x14ac:dyDescent="0.25">
      <c r="B36" s="5" t="s">
        <v>74</v>
      </c>
      <c r="C36" s="10">
        <v>56</v>
      </c>
      <c r="D36" s="10">
        <v>58</v>
      </c>
      <c r="E36" s="10">
        <v>111</v>
      </c>
      <c r="F36" s="10">
        <v>171</v>
      </c>
      <c r="G36" s="10">
        <v>176</v>
      </c>
      <c r="H36" s="10">
        <v>154</v>
      </c>
      <c r="I36" s="10">
        <v>117</v>
      </c>
      <c r="J36" s="10">
        <v>94</v>
      </c>
      <c r="K36" s="10">
        <v>89</v>
      </c>
      <c r="L36" s="10">
        <v>69</v>
      </c>
      <c r="M36" s="10">
        <v>55</v>
      </c>
      <c r="N36" s="10">
        <v>51</v>
      </c>
    </row>
    <row r="58" spans="2:14" x14ac:dyDescent="0.25">
      <c r="B58" s="24" t="s">
        <v>75</v>
      </c>
      <c r="C58" s="24"/>
      <c r="D58" s="24"/>
      <c r="E58" s="24"/>
      <c r="F58" s="24"/>
      <c r="G58" s="24"/>
      <c r="H58" s="24"/>
      <c r="I58" s="24"/>
      <c r="J58" s="24"/>
      <c r="K58" s="24"/>
      <c r="L58" s="24"/>
      <c r="M58" s="24"/>
      <c r="N58" s="24"/>
    </row>
    <row r="59" spans="2:14" x14ac:dyDescent="0.25">
      <c r="B59" s="24"/>
      <c r="C59" s="24"/>
      <c r="D59" s="24"/>
      <c r="E59" s="24"/>
      <c r="F59" s="24"/>
      <c r="G59" s="24"/>
      <c r="H59" s="24"/>
      <c r="I59" s="24"/>
      <c r="J59" s="24"/>
      <c r="K59" s="24"/>
      <c r="L59" s="24"/>
      <c r="M59" s="24"/>
      <c r="N59" s="24"/>
    </row>
    <row r="60" spans="2:14" x14ac:dyDescent="0.25">
      <c r="B60" s="24"/>
      <c r="C60" s="24"/>
      <c r="D60" s="24"/>
      <c r="E60" s="24"/>
      <c r="F60" s="24"/>
      <c r="G60" s="24"/>
      <c r="H60" s="24"/>
      <c r="I60" s="24"/>
      <c r="J60" s="24"/>
      <c r="K60" s="24"/>
      <c r="L60" s="24"/>
      <c r="M60" s="24"/>
      <c r="N60" s="24"/>
    </row>
  </sheetData>
  <mergeCells count="15">
    <mergeCell ref="B12:K12"/>
    <mergeCell ref="B13:K13"/>
    <mergeCell ref="B14:K14"/>
    <mergeCell ref="B58:N60"/>
    <mergeCell ref="H5:I5"/>
    <mergeCell ref="H6:I6"/>
    <mergeCell ref="B9:K9"/>
    <mergeCell ref="B10:K10"/>
    <mergeCell ref="B11:K11"/>
    <mergeCell ref="B5:C5"/>
    <mergeCell ref="B6:C6"/>
    <mergeCell ref="D5:E5"/>
    <mergeCell ref="D6:E6"/>
    <mergeCell ref="F5:G5"/>
    <mergeCell ref="F6:G6"/>
  </mergeCells>
  <conditionalFormatting sqref="C29:N36">
    <cfRule type="colorScale" priority="4">
      <colorScale>
        <cfvo type="min"/>
        <cfvo type="num" val="100"/>
        <cfvo type="max"/>
        <color rgb="FF5B9BD5"/>
        <color rgb="FFFFFFFF"/>
        <color rgb="FFF4B183"/>
      </colorScale>
    </cfRule>
  </conditionalFormatting>
  <conditionalFormatting sqref="D18:D25">
    <cfRule type="dataBar" priority="3">
      <dataBar>
        <cfvo type="min"/>
        <cfvo type="max"/>
        <color rgb="FF9DC3E6"/>
      </dataBar>
    </cfRule>
  </conditionalFormatting>
  <conditionalFormatting sqref="K18:K25">
    <cfRule type="beginsWith" dxfId="15" priority="1" operator="beginsWith" text="Oui">
      <formula>LEFT(K18,3)="Oui"</formula>
    </cfRule>
    <cfRule type="beginsWith" dxfId="14" priority="2" operator="beginsWith" text="Non">
      <formula>LEFT(K18,3)="Non"</formula>
    </cfRule>
  </conditionalFormatting>
  <pageMargins left="0.7" right="0.7" top="0.75" bottom="0.75" header="0.3" footer="0.3"/>
  <headerFooter>
    <oddFooter>&amp;L_x000D_&amp;1#&amp;"Aptos"&amp;10&amp;K008000 Interne</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B80"/>
  <sheetViews>
    <sheetView showGridLines="0" tabSelected="1" workbookViewId="0">
      <pane ySplit="10" topLeftCell="A43" activePane="bottomLeft" state="frozen"/>
      <selection pane="bottomLeft" activeCell="D12" sqref="D12"/>
    </sheetView>
  </sheetViews>
  <sheetFormatPr baseColWidth="10" defaultColWidth="9.140625" defaultRowHeight="15" x14ac:dyDescent="0.25"/>
  <cols>
    <col min="1" max="1" width="2.7109375" customWidth="1"/>
    <col min="2" max="2" width="13.7109375" customWidth="1"/>
    <col min="3" max="3" width="36.7109375" customWidth="1"/>
    <col min="4" max="4" width="11.7109375" customWidth="1"/>
    <col min="5" max="10" width="15.7109375" customWidth="1"/>
    <col min="27" max="28" width="14.7109375" hidden="1" customWidth="1"/>
  </cols>
  <sheetData>
    <row r="2" spans="2:28" ht="23.25" x14ac:dyDescent="0.25">
      <c r="B2" s="1" t="s">
        <v>76</v>
      </c>
    </row>
    <row r="3" spans="2:28" x14ac:dyDescent="0.25">
      <c r="B3" s="2" t="s">
        <v>77</v>
      </c>
    </row>
    <row r="5" spans="2:28" x14ac:dyDescent="0.25">
      <c r="B5" s="5" t="s">
        <v>78</v>
      </c>
      <c r="C5" s="11">
        <v>43709</v>
      </c>
      <c r="D5" s="12" t="str">
        <f>IF($C$5&gt;$C$6,"La date de début est après la date de fin.","")</f>
        <v/>
      </c>
    </row>
    <row r="6" spans="2:28" x14ac:dyDescent="0.25">
      <c r="B6" s="5" t="s">
        <v>79</v>
      </c>
      <c r="C6" s="11">
        <v>43738</v>
      </c>
      <c r="E6" s="2" t="s">
        <v>81</v>
      </c>
    </row>
    <row r="7" spans="2:28" x14ac:dyDescent="0.25">
      <c r="B7" s="5" t="s">
        <v>80</v>
      </c>
      <c r="C7" s="10">
        <f>COUNTIFS(Donnees!$A$2:$A$2107,"&gt;="&amp;$C$5,Donnees!$A$2:$A$2107,"&lt;="&amp;$C$6)</f>
        <v>30</v>
      </c>
      <c r="D7" s="12" t="str">
        <f>IF(AND($C$5&lt;=$C$6,$C$7=0),"Aucune donnée sur cette période.","")</f>
        <v/>
      </c>
    </row>
    <row r="10" spans="2:28" ht="32.1" customHeight="1" x14ac:dyDescent="0.25">
      <c r="B10" s="4" t="s">
        <v>15</v>
      </c>
      <c r="C10" s="4" t="s">
        <v>63</v>
      </c>
      <c r="D10" s="4" t="s">
        <v>82</v>
      </c>
      <c r="E10" s="4" t="s">
        <v>83</v>
      </c>
      <c r="F10" s="4" t="s">
        <v>84</v>
      </c>
      <c r="G10" s="4" t="s">
        <v>85</v>
      </c>
      <c r="H10" s="4" t="s">
        <v>86</v>
      </c>
      <c r="I10" s="4" t="s">
        <v>87</v>
      </c>
      <c r="AA10" s="4" t="s">
        <v>89</v>
      </c>
      <c r="AB10" s="4" t="s">
        <v>90</v>
      </c>
    </row>
    <row r="11" spans="2:28" x14ac:dyDescent="0.25">
      <c r="B11" s="5" t="s">
        <v>25</v>
      </c>
      <c r="C11" s="5" t="s">
        <v>24</v>
      </c>
      <c r="D11" s="13" t="s">
        <v>30</v>
      </c>
      <c r="E11" s="14">
        <f>IF($D11="Oui",SUMIFS(Donnees!$B$2:$B$2107,Donnees!$A$2:$A$2107,"&gt;="&amp;$C$5,Donnees!$A$2:$A$2107,"&lt;="&amp;$C$6),"")</f>
        <v>161.06999999999996</v>
      </c>
      <c r="F11" s="14">
        <f t="shared" ref="F11:F18" si="0">IF(AND($D11="Oui",$C$7&gt;0),E11/$C$7,"")</f>
        <v>5.3689999999999989</v>
      </c>
      <c r="G11" s="14">
        <f>IF(AND($D11="Oui",$C$7&gt;0),_xlfn.MAXIFS(Donnees!$B$2:$B$2107,Donnees!$A$2:$A$2107,"&gt;="&amp;$C$5,Donnees!$A$2:$A$2107,"&lt;="&amp;$C$6),"")</f>
        <v>10.68</v>
      </c>
      <c r="H11" s="14">
        <f>IF($D11="Oui",AVERAGE(Donnees!$B$2:$B$2107),"")</f>
        <v>5.0921153846153837</v>
      </c>
      <c r="I11" s="8">
        <f t="shared" ref="I11:I18" si="1">IF(AND($D11="Oui",$C$7&gt;0),F11/H11-1,"")</f>
        <v>5.4375165225272859E-2</v>
      </c>
      <c r="AA11" s="15">
        <v>41640</v>
      </c>
      <c r="AB11" s="14" t="e">
        <f>IF(AND(EOMONTH($AA11,0)&gt;=$C$5,$AA11&lt;=$C$6),($D$11="Oui")*SUMIFS(Donnees!$B$2:$B$2107,Donnees!$A$2:$A$2107,"&gt;="&amp;MAX($AA11,$C$5),Donnees!$A$2:$A$2107,"&lt;="&amp;MIN(EOMONTH($AA11,0),$C$6))+($D$12="Oui")*SUMIFS(Donnees!$C$2:$C$2107,Donnees!$A$2:$A$2107,"&gt;="&amp;MAX($AA11,$C$5),Donnees!$A$2:$A$2107,"&lt;="&amp;MIN(EOMONTH($AA11,0),$C$6))+($D$13="Oui")*SUMIFS(Donnees!$D$2:$D$2107,Donnees!$A$2:$A$2107,"&gt;="&amp;MAX($AA11,$C$5),Donnees!$A$2:$A$2107,"&lt;="&amp;MIN(EOMONTH($AA11,0),$C$6))+($D$14="Oui")*SUMIFS(Donnees!$E$2:$E$2107,Donnees!$A$2:$A$2107,"&gt;="&amp;MAX($AA11,$C$5),Donnees!$A$2:$A$2107,"&lt;="&amp;MIN(EOMONTH($AA11,0),$C$6))+($D$15="Oui")*SUMIFS(Donnees!$F$2:$F$2107,Donnees!$A$2:$A$2107,"&gt;="&amp;MAX($AA11,$C$5),Donnees!$A$2:$A$2107,"&lt;="&amp;MIN(EOMONTH($AA11,0),$C$6))+($D$16="Oui")*SUMIFS(Donnees!$G$2:$G$2107,Donnees!$A$2:$A$2107,"&gt;="&amp;MAX($AA11,$C$5),Donnees!$A$2:$A$2107,"&lt;="&amp;MIN(EOMONTH($AA11,0),$C$6))+($D$17="Oui")*SUMIFS(Donnees!$H$2:$H$2107,Donnees!$A$2:$A$2107,"&gt;="&amp;MAX($AA11,$C$5),Donnees!$A$2:$A$2107,"&lt;="&amp;MIN(EOMONTH($AA11,0),$C$6))+($D$18="Oui")*SUMIFS(Donnees!$I$2:$I$2107,Donnees!$A$2:$A$2107,"&gt;="&amp;MAX($AA11,$C$5),Donnees!$A$2:$A$2107,"&lt;="&amp;MIN(EOMONTH($AA11,0),$C$6)),NA())</f>
        <v>#N/A</v>
      </c>
    </row>
    <row r="12" spans="2:28" x14ac:dyDescent="0.25">
      <c r="B12" s="5" t="s">
        <v>32</v>
      </c>
      <c r="C12" s="5" t="s">
        <v>31</v>
      </c>
      <c r="D12" s="13" t="s">
        <v>30</v>
      </c>
      <c r="E12" s="14">
        <f>IF($D12="Oui",SUMIFS(Donnees!$C$2:$C$2107,Donnees!$A$2:$A$2107,"&gt;="&amp;$C$5,Donnees!$A$2:$A$2107,"&lt;="&amp;$C$6),"")</f>
        <v>111.43700000000001</v>
      </c>
      <c r="F12" s="14">
        <f t="shared" si="0"/>
        <v>3.7145666666666672</v>
      </c>
      <c r="G12" s="14">
        <f>IF(AND($D12="Oui",$C$7&gt;0),_xlfn.MAXIFS(Donnees!$C$2:$C$2107,Donnees!$A$2:$A$2107,"&gt;="&amp;$C$5,Donnees!$A$2:$A$2107,"&lt;="&amp;$C$6),"")</f>
        <v>9.5299999999999994</v>
      </c>
      <c r="H12" s="14">
        <f>IF($D12="Oui",AVERAGE(Donnees!$C$2:$C$2107),"")</f>
        <v>3.9557687559354338</v>
      </c>
      <c r="I12" s="8">
        <f t="shared" si="1"/>
        <v>-6.0974769798374795E-2</v>
      </c>
      <c r="AA12" s="15">
        <v>41671</v>
      </c>
      <c r="AB12" s="14" t="e">
        <f>IF(AND(EOMONTH($AA12,0)&gt;=$C$5,$AA12&lt;=$C$6),($D$11="Oui")*SUMIFS(Donnees!$B$2:$B$2107,Donnees!$A$2:$A$2107,"&gt;="&amp;MAX($AA12,$C$5),Donnees!$A$2:$A$2107,"&lt;="&amp;MIN(EOMONTH($AA12,0),$C$6))+($D$12="Oui")*SUMIFS(Donnees!$C$2:$C$2107,Donnees!$A$2:$A$2107,"&gt;="&amp;MAX($AA12,$C$5),Donnees!$A$2:$A$2107,"&lt;="&amp;MIN(EOMONTH($AA12,0),$C$6))+($D$13="Oui")*SUMIFS(Donnees!$D$2:$D$2107,Donnees!$A$2:$A$2107,"&gt;="&amp;MAX($AA12,$C$5),Donnees!$A$2:$A$2107,"&lt;="&amp;MIN(EOMONTH($AA12,0),$C$6))+($D$14="Oui")*SUMIFS(Donnees!$E$2:$E$2107,Donnees!$A$2:$A$2107,"&gt;="&amp;MAX($AA12,$C$5),Donnees!$A$2:$A$2107,"&lt;="&amp;MIN(EOMONTH($AA12,0),$C$6))+($D$15="Oui")*SUMIFS(Donnees!$F$2:$F$2107,Donnees!$A$2:$A$2107,"&gt;="&amp;MAX($AA12,$C$5),Donnees!$A$2:$A$2107,"&lt;="&amp;MIN(EOMONTH($AA12,0),$C$6))+($D$16="Oui")*SUMIFS(Donnees!$G$2:$G$2107,Donnees!$A$2:$A$2107,"&gt;="&amp;MAX($AA12,$C$5),Donnees!$A$2:$A$2107,"&lt;="&amp;MIN(EOMONTH($AA12,0),$C$6))+($D$17="Oui")*SUMIFS(Donnees!$H$2:$H$2107,Donnees!$A$2:$A$2107,"&gt;="&amp;MAX($AA12,$C$5),Donnees!$A$2:$A$2107,"&lt;="&amp;MIN(EOMONTH($AA12,0),$C$6))+($D$18="Oui")*SUMIFS(Donnees!$I$2:$I$2107,Donnees!$A$2:$A$2107,"&gt;="&amp;MAX($AA12,$C$5),Donnees!$A$2:$A$2107,"&lt;="&amp;MIN(EOMONTH($AA12,0),$C$6)),NA())</f>
        <v>#N/A</v>
      </c>
    </row>
    <row r="13" spans="2:28" x14ac:dyDescent="0.25">
      <c r="B13" s="5" t="s">
        <v>37</v>
      </c>
      <c r="C13" s="5" t="s">
        <v>36</v>
      </c>
      <c r="D13" s="13" t="s">
        <v>30</v>
      </c>
      <c r="E13" s="14">
        <f>IF($D13="Oui",SUMIFS(Donnees!$D$2:$D$2107,Donnees!$A$2:$A$2107,"&gt;="&amp;$C$5,Donnees!$A$2:$A$2107,"&lt;="&amp;$C$6),"")</f>
        <v>93.5</v>
      </c>
      <c r="F13" s="14">
        <f t="shared" si="0"/>
        <v>3.1166666666666667</v>
      </c>
      <c r="G13" s="14">
        <f>IF(AND($D13="Oui",$C$7&gt;0),_xlfn.MAXIFS(Donnees!$D$2:$D$2107,Donnees!$A$2:$A$2107,"&gt;="&amp;$C$5,Donnees!$A$2:$A$2107,"&lt;="&amp;$C$6),"")</f>
        <v>7</v>
      </c>
      <c r="H13" s="14">
        <f>IF($D13="Oui",AVERAGE(Donnees!$D$2:$D$2107),"")</f>
        <v>3.8887272871163399</v>
      </c>
      <c r="I13" s="8">
        <f t="shared" si="1"/>
        <v>-0.19853812403034043</v>
      </c>
      <c r="AA13" s="15">
        <v>41699</v>
      </c>
      <c r="AB13" s="14" t="e">
        <f>IF(AND(EOMONTH($AA13,0)&gt;=$C$5,$AA13&lt;=$C$6),($D$11="Oui")*SUMIFS(Donnees!$B$2:$B$2107,Donnees!$A$2:$A$2107,"&gt;="&amp;MAX($AA13,$C$5),Donnees!$A$2:$A$2107,"&lt;="&amp;MIN(EOMONTH($AA13,0),$C$6))+($D$12="Oui")*SUMIFS(Donnees!$C$2:$C$2107,Donnees!$A$2:$A$2107,"&gt;="&amp;MAX($AA13,$C$5),Donnees!$A$2:$A$2107,"&lt;="&amp;MIN(EOMONTH($AA13,0),$C$6))+($D$13="Oui")*SUMIFS(Donnees!$D$2:$D$2107,Donnees!$A$2:$A$2107,"&gt;="&amp;MAX($AA13,$C$5),Donnees!$A$2:$A$2107,"&lt;="&amp;MIN(EOMONTH($AA13,0),$C$6))+($D$14="Oui")*SUMIFS(Donnees!$E$2:$E$2107,Donnees!$A$2:$A$2107,"&gt;="&amp;MAX($AA13,$C$5),Donnees!$A$2:$A$2107,"&lt;="&amp;MIN(EOMONTH($AA13,0),$C$6))+($D$15="Oui")*SUMIFS(Donnees!$F$2:$F$2107,Donnees!$A$2:$A$2107,"&gt;="&amp;MAX($AA13,$C$5),Donnees!$A$2:$A$2107,"&lt;="&amp;MIN(EOMONTH($AA13,0),$C$6))+($D$16="Oui")*SUMIFS(Donnees!$G$2:$G$2107,Donnees!$A$2:$A$2107,"&gt;="&amp;MAX($AA13,$C$5),Donnees!$A$2:$A$2107,"&lt;="&amp;MIN(EOMONTH($AA13,0),$C$6))+($D$17="Oui")*SUMIFS(Donnees!$H$2:$H$2107,Donnees!$A$2:$A$2107,"&gt;="&amp;MAX($AA13,$C$5),Donnees!$A$2:$A$2107,"&lt;="&amp;MIN(EOMONTH($AA13,0),$C$6))+($D$18="Oui")*SUMIFS(Donnees!$I$2:$I$2107,Donnees!$A$2:$A$2107,"&gt;="&amp;MAX($AA13,$C$5),Donnees!$A$2:$A$2107,"&lt;="&amp;MIN(EOMONTH($AA13,0),$C$6)),NA())</f>
        <v>#N/A</v>
      </c>
    </row>
    <row r="14" spans="2:28" x14ac:dyDescent="0.25">
      <c r="B14" s="5" t="s">
        <v>44</v>
      </c>
      <c r="C14" s="5" t="s">
        <v>43</v>
      </c>
      <c r="D14" s="13" t="s">
        <v>30</v>
      </c>
      <c r="E14" s="14">
        <f>IF($D14="Oui",SUMIFS(Donnees!$E$2:$E$2107,Donnees!$A$2:$A$2107,"&gt;="&amp;$C$5,Donnees!$A$2:$A$2107,"&lt;="&amp;$C$6),"")</f>
        <v>984.4799999999999</v>
      </c>
      <c r="F14" s="14">
        <f t="shared" si="0"/>
        <v>32.815999999999995</v>
      </c>
      <c r="G14" s="14">
        <f>IF(AND($D14="Oui",$C$7&gt;0),_xlfn.MAXIFS(Donnees!$E$2:$E$2107,Donnees!$A$2:$A$2107,"&gt;="&amp;$C$5,Donnees!$A$2:$A$2107,"&lt;="&amp;$C$6),"")</f>
        <v>67.8</v>
      </c>
      <c r="H14" s="14">
        <f>IF($D14="Oui",AVERAGE(Donnees!$E$2:$E$2107),"")</f>
        <v>30.461339506177534</v>
      </c>
      <c r="I14" s="8">
        <f t="shared" si="1"/>
        <v>7.7299965529911807E-2</v>
      </c>
      <c r="AA14" s="15">
        <v>41730</v>
      </c>
      <c r="AB14" s="14" t="e">
        <f>IF(AND(EOMONTH($AA14,0)&gt;=$C$5,$AA14&lt;=$C$6),($D$11="Oui")*SUMIFS(Donnees!$B$2:$B$2107,Donnees!$A$2:$A$2107,"&gt;="&amp;MAX($AA14,$C$5),Donnees!$A$2:$A$2107,"&lt;="&amp;MIN(EOMONTH($AA14,0),$C$6))+($D$12="Oui")*SUMIFS(Donnees!$C$2:$C$2107,Donnees!$A$2:$A$2107,"&gt;="&amp;MAX($AA14,$C$5),Donnees!$A$2:$A$2107,"&lt;="&amp;MIN(EOMONTH($AA14,0),$C$6))+($D$13="Oui")*SUMIFS(Donnees!$D$2:$D$2107,Donnees!$A$2:$A$2107,"&gt;="&amp;MAX($AA14,$C$5),Donnees!$A$2:$A$2107,"&lt;="&amp;MIN(EOMONTH($AA14,0),$C$6))+($D$14="Oui")*SUMIFS(Donnees!$E$2:$E$2107,Donnees!$A$2:$A$2107,"&gt;="&amp;MAX($AA14,$C$5),Donnees!$A$2:$A$2107,"&lt;="&amp;MIN(EOMONTH($AA14,0),$C$6))+($D$15="Oui")*SUMIFS(Donnees!$F$2:$F$2107,Donnees!$A$2:$A$2107,"&gt;="&amp;MAX($AA14,$C$5),Donnees!$A$2:$A$2107,"&lt;="&amp;MIN(EOMONTH($AA14,0),$C$6))+($D$16="Oui")*SUMIFS(Donnees!$G$2:$G$2107,Donnees!$A$2:$A$2107,"&gt;="&amp;MAX($AA14,$C$5),Donnees!$A$2:$A$2107,"&lt;="&amp;MIN(EOMONTH($AA14,0),$C$6))+($D$17="Oui")*SUMIFS(Donnees!$H$2:$H$2107,Donnees!$A$2:$A$2107,"&gt;="&amp;MAX($AA14,$C$5),Donnees!$A$2:$A$2107,"&lt;="&amp;MIN(EOMONTH($AA14,0),$C$6))+($D$18="Oui")*SUMIFS(Donnees!$I$2:$I$2107,Donnees!$A$2:$A$2107,"&gt;="&amp;MAX($AA14,$C$5),Donnees!$A$2:$A$2107,"&lt;="&amp;MIN(EOMONTH($AA14,0),$C$6)),NA())</f>
        <v>#N/A</v>
      </c>
    </row>
    <row r="15" spans="2:28" x14ac:dyDescent="0.25">
      <c r="B15" s="5" t="s">
        <v>47</v>
      </c>
      <c r="C15" s="5" t="s">
        <v>46</v>
      </c>
      <c r="D15" s="13" t="s">
        <v>30</v>
      </c>
      <c r="E15" s="14">
        <f>IF($D15="Oui",SUMIFS(Donnees!$F$2:$F$2107,Donnees!$A$2:$A$2107,"&gt;="&amp;$C$5,Donnees!$A$2:$A$2107,"&lt;="&amp;$C$6),"")</f>
        <v>227.79999999999998</v>
      </c>
      <c r="F15" s="14">
        <f t="shared" si="0"/>
        <v>7.5933333333333328</v>
      </c>
      <c r="G15" s="14">
        <f>IF(AND($D15="Oui",$C$7&gt;0),_xlfn.MAXIFS(Donnees!$F$2:$F$2107,Donnees!$A$2:$A$2107,"&gt;="&amp;$C$5,Donnees!$A$2:$A$2107,"&lt;="&amp;$C$6),"")</f>
        <v>17</v>
      </c>
      <c r="H15" s="14">
        <f>IF($D15="Oui",AVERAGE(Donnees!$F$2:$F$2107),"")</f>
        <v>8.8380856283618279</v>
      </c>
      <c r="I15" s="8">
        <f t="shared" si="1"/>
        <v>-0.14083958306921429</v>
      </c>
      <c r="AA15" s="15">
        <v>41760</v>
      </c>
      <c r="AB15" s="14" t="e">
        <f>IF(AND(EOMONTH($AA15,0)&gt;=$C$5,$AA15&lt;=$C$6),($D$11="Oui")*SUMIFS(Donnees!$B$2:$B$2107,Donnees!$A$2:$A$2107,"&gt;="&amp;MAX($AA15,$C$5),Donnees!$A$2:$A$2107,"&lt;="&amp;MIN(EOMONTH($AA15,0),$C$6))+($D$12="Oui")*SUMIFS(Donnees!$C$2:$C$2107,Donnees!$A$2:$A$2107,"&gt;="&amp;MAX($AA15,$C$5),Donnees!$A$2:$A$2107,"&lt;="&amp;MIN(EOMONTH($AA15,0),$C$6))+($D$13="Oui")*SUMIFS(Donnees!$D$2:$D$2107,Donnees!$A$2:$A$2107,"&gt;="&amp;MAX($AA15,$C$5),Donnees!$A$2:$A$2107,"&lt;="&amp;MIN(EOMONTH($AA15,0),$C$6))+($D$14="Oui")*SUMIFS(Donnees!$E$2:$E$2107,Donnees!$A$2:$A$2107,"&gt;="&amp;MAX($AA15,$C$5),Donnees!$A$2:$A$2107,"&lt;="&amp;MIN(EOMONTH($AA15,0),$C$6))+($D$15="Oui")*SUMIFS(Donnees!$F$2:$F$2107,Donnees!$A$2:$A$2107,"&gt;="&amp;MAX($AA15,$C$5),Donnees!$A$2:$A$2107,"&lt;="&amp;MIN(EOMONTH($AA15,0),$C$6))+($D$16="Oui")*SUMIFS(Donnees!$G$2:$G$2107,Donnees!$A$2:$A$2107,"&gt;="&amp;MAX($AA15,$C$5),Donnees!$A$2:$A$2107,"&lt;="&amp;MIN(EOMONTH($AA15,0),$C$6))+($D$17="Oui")*SUMIFS(Donnees!$H$2:$H$2107,Donnees!$A$2:$A$2107,"&gt;="&amp;MAX($AA15,$C$5),Donnees!$A$2:$A$2107,"&lt;="&amp;MIN(EOMONTH($AA15,0),$C$6))+($D$18="Oui")*SUMIFS(Donnees!$I$2:$I$2107,Donnees!$A$2:$A$2107,"&gt;="&amp;MAX($AA15,$C$5),Donnees!$A$2:$A$2107,"&lt;="&amp;MIN(EOMONTH($AA15,0),$C$6)),NA())</f>
        <v>#N/A</v>
      </c>
    </row>
    <row r="16" spans="2:28" x14ac:dyDescent="0.25">
      <c r="B16" s="5" t="s">
        <v>51</v>
      </c>
      <c r="C16" s="5" t="s">
        <v>50</v>
      </c>
      <c r="D16" s="13" t="s">
        <v>30</v>
      </c>
      <c r="E16" s="14">
        <f>IF($D16="Oui",SUMIFS(Donnees!$G$2:$G$2107,Donnees!$A$2:$A$2107,"&gt;="&amp;$C$5,Donnees!$A$2:$A$2107,"&lt;="&amp;$C$6),"")</f>
        <v>16</v>
      </c>
      <c r="F16" s="14">
        <f t="shared" si="0"/>
        <v>0.53333333333333333</v>
      </c>
      <c r="G16" s="14">
        <f>IF(AND($D16="Oui",$C$7&gt;0),_xlfn.MAXIFS(Donnees!$G$2:$G$2107,Donnees!$A$2:$A$2107,"&gt;="&amp;$C$5,Donnees!$A$2:$A$2107,"&lt;="&amp;$C$6),"")</f>
        <v>3</v>
      </c>
      <c r="H16" s="14">
        <f>IF($D16="Oui",AVERAGE(Donnees!$G$2:$G$2107),"")</f>
        <v>0.59306742640075971</v>
      </c>
      <c r="I16" s="8">
        <f t="shared" si="1"/>
        <v>-0.10072057646116894</v>
      </c>
      <c r="AA16" s="15">
        <v>41791</v>
      </c>
      <c r="AB16" s="14" t="e">
        <f>IF(AND(EOMONTH($AA16,0)&gt;=$C$5,$AA16&lt;=$C$6),($D$11="Oui")*SUMIFS(Donnees!$B$2:$B$2107,Donnees!$A$2:$A$2107,"&gt;="&amp;MAX($AA16,$C$5),Donnees!$A$2:$A$2107,"&lt;="&amp;MIN(EOMONTH($AA16,0),$C$6))+($D$12="Oui")*SUMIFS(Donnees!$C$2:$C$2107,Donnees!$A$2:$A$2107,"&gt;="&amp;MAX($AA16,$C$5),Donnees!$A$2:$A$2107,"&lt;="&amp;MIN(EOMONTH($AA16,0),$C$6))+($D$13="Oui")*SUMIFS(Donnees!$D$2:$D$2107,Donnees!$A$2:$A$2107,"&gt;="&amp;MAX($AA16,$C$5),Donnees!$A$2:$A$2107,"&lt;="&amp;MIN(EOMONTH($AA16,0),$C$6))+($D$14="Oui")*SUMIFS(Donnees!$E$2:$E$2107,Donnees!$A$2:$A$2107,"&gt;="&amp;MAX($AA16,$C$5),Donnees!$A$2:$A$2107,"&lt;="&amp;MIN(EOMONTH($AA16,0),$C$6))+($D$15="Oui")*SUMIFS(Donnees!$F$2:$F$2107,Donnees!$A$2:$A$2107,"&gt;="&amp;MAX($AA16,$C$5),Donnees!$A$2:$A$2107,"&lt;="&amp;MIN(EOMONTH($AA16,0),$C$6))+($D$16="Oui")*SUMIFS(Donnees!$G$2:$G$2107,Donnees!$A$2:$A$2107,"&gt;="&amp;MAX($AA16,$C$5),Donnees!$A$2:$A$2107,"&lt;="&amp;MIN(EOMONTH($AA16,0),$C$6))+($D$17="Oui")*SUMIFS(Donnees!$H$2:$H$2107,Donnees!$A$2:$A$2107,"&gt;="&amp;MAX($AA16,$C$5),Donnees!$A$2:$A$2107,"&lt;="&amp;MIN(EOMONTH($AA16,0),$C$6))+($D$18="Oui")*SUMIFS(Donnees!$I$2:$I$2107,Donnees!$A$2:$A$2107,"&gt;="&amp;MAX($AA16,$C$5),Donnees!$A$2:$A$2107,"&lt;="&amp;MIN(EOMONTH($AA16,0),$C$6)),NA())</f>
        <v>#N/A</v>
      </c>
    </row>
    <row r="17" spans="2:28" x14ac:dyDescent="0.25">
      <c r="B17" s="5" t="s">
        <v>57</v>
      </c>
      <c r="C17" s="5" t="s">
        <v>56</v>
      </c>
      <c r="D17" s="13" t="s">
        <v>30</v>
      </c>
      <c r="E17" s="14">
        <f>IF($D17="Oui",SUMIFS(Donnees!$H$2:$H$2107,Donnees!$A$2:$A$2107,"&gt;="&amp;$C$5,Donnees!$A$2:$A$2107,"&lt;="&amp;$C$6),"")</f>
        <v>121.416666667</v>
      </c>
      <c r="F17" s="14">
        <f t="shared" si="0"/>
        <v>4.0472222222333336</v>
      </c>
      <c r="G17" s="14">
        <f>IF(AND($D17="Oui",$C$7&gt;0),_xlfn.MAXIFS(Donnees!$H$2:$H$2107,Donnees!$A$2:$A$2107,"&gt;="&amp;$C$5,Donnees!$A$2:$A$2107,"&lt;="&amp;$C$6),"")</f>
        <v>31</v>
      </c>
      <c r="H17" s="14">
        <f>IF($D17="Oui",AVERAGE(Donnees!$H$2:$H$2107),"")</f>
        <v>5.5769626464088322</v>
      </c>
      <c r="I17" s="8">
        <f t="shared" si="1"/>
        <v>-0.27429633676326359</v>
      </c>
      <c r="AA17" s="15">
        <v>41821</v>
      </c>
      <c r="AB17" s="14" t="e">
        <f>IF(AND(EOMONTH($AA17,0)&gt;=$C$5,$AA17&lt;=$C$6),($D$11="Oui")*SUMIFS(Donnees!$B$2:$B$2107,Donnees!$A$2:$A$2107,"&gt;="&amp;MAX($AA17,$C$5),Donnees!$A$2:$A$2107,"&lt;="&amp;MIN(EOMONTH($AA17,0),$C$6))+($D$12="Oui")*SUMIFS(Donnees!$C$2:$C$2107,Donnees!$A$2:$A$2107,"&gt;="&amp;MAX($AA17,$C$5),Donnees!$A$2:$A$2107,"&lt;="&amp;MIN(EOMONTH($AA17,0),$C$6))+($D$13="Oui")*SUMIFS(Donnees!$D$2:$D$2107,Donnees!$A$2:$A$2107,"&gt;="&amp;MAX($AA17,$C$5),Donnees!$A$2:$A$2107,"&lt;="&amp;MIN(EOMONTH($AA17,0),$C$6))+($D$14="Oui")*SUMIFS(Donnees!$E$2:$E$2107,Donnees!$A$2:$A$2107,"&gt;="&amp;MAX($AA17,$C$5),Donnees!$A$2:$A$2107,"&lt;="&amp;MIN(EOMONTH($AA17,0),$C$6))+($D$15="Oui")*SUMIFS(Donnees!$F$2:$F$2107,Donnees!$A$2:$A$2107,"&gt;="&amp;MAX($AA17,$C$5),Donnees!$A$2:$A$2107,"&lt;="&amp;MIN(EOMONTH($AA17,0),$C$6))+($D$16="Oui")*SUMIFS(Donnees!$G$2:$G$2107,Donnees!$A$2:$A$2107,"&gt;="&amp;MAX($AA17,$C$5),Donnees!$A$2:$A$2107,"&lt;="&amp;MIN(EOMONTH($AA17,0),$C$6))+($D$17="Oui")*SUMIFS(Donnees!$H$2:$H$2107,Donnees!$A$2:$A$2107,"&gt;="&amp;MAX($AA17,$C$5),Donnees!$A$2:$A$2107,"&lt;="&amp;MIN(EOMONTH($AA17,0),$C$6))+($D$18="Oui")*SUMIFS(Donnees!$I$2:$I$2107,Donnees!$A$2:$A$2107,"&gt;="&amp;MAX($AA17,$C$5),Donnees!$A$2:$A$2107,"&lt;="&amp;MIN(EOMONTH($AA17,0),$C$6)),NA())</f>
        <v>#N/A</v>
      </c>
    </row>
    <row r="18" spans="2:28" x14ac:dyDescent="0.25">
      <c r="B18" s="5" t="s">
        <v>61</v>
      </c>
      <c r="C18" s="5" t="s">
        <v>60</v>
      </c>
      <c r="D18" s="13" t="s">
        <v>30</v>
      </c>
      <c r="E18" s="14">
        <f>IF($D18="Oui",SUMIFS(Donnees!$I$2:$I$2107,Donnees!$A$2:$A$2107,"&gt;="&amp;$C$5,Donnees!$A$2:$A$2107,"&lt;="&amp;$C$6),"")</f>
        <v>109.1</v>
      </c>
      <c r="F18" s="14">
        <f t="shared" si="0"/>
        <v>3.6366666666666663</v>
      </c>
      <c r="G18" s="14">
        <f>IF(AND($D18="Oui",$C$7&gt;0),_xlfn.MAXIFS(Donnees!$I$2:$I$2107,Donnees!$A$2:$A$2107,"&gt;="&amp;$C$5,Donnees!$A$2:$A$2107,"&lt;="&amp;$C$6),"")</f>
        <v>10</v>
      </c>
      <c r="H18" s="14">
        <f>IF($D18="Oui",AVERAGE(Donnees!$I$2:$I$2107),"")</f>
        <v>2.9271035137701791</v>
      </c>
      <c r="I18" s="8">
        <f t="shared" si="1"/>
        <v>0.24241136316445222</v>
      </c>
      <c r="AA18" s="15">
        <v>41852</v>
      </c>
      <c r="AB18" s="14" t="e">
        <f>IF(AND(EOMONTH($AA18,0)&gt;=$C$5,$AA18&lt;=$C$6),($D$11="Oui")*SUMIFS(Donnees!$B$2:$B$2107,Donnees!$A$2:$A$2107,"&gt;="&amp;MAX($AA18,$C$5),Donnees!$A$2:$A$2107,"&lt;="&amp;MIN(EOMONTH($AA18,0),$C$6))+($D$12="Oui")*SUMIFS(Donnees!$C$2:$C$2107,Donnees!$A$2:$A$2107,"&gt;="&amp;MAX($AA18,$C$5),Donnees!$A$2:$A$2107,"&lt;="&amp;MIN(EOMONTH($AA18,0),$C$6))+($D$13="Oui")*SUMIFS(Donnees!$D$2:$D$2107,Donnees!$A$2:$A$2107,"&gt;="&amp;MAX($AA18,$C$5),Donnees!$A$2:$A$2107,"&lt;="&amp;MIN(EOMONTH($AA18,0),$C$6))+($D$14="Oui")*SUMIFS(Donnees!$E$2:$E$2107,Donnees!$A$2:$A$2107,"&gt;="&amp;MAX($AA18,$C$5),Donnees!$A$2:$A$2107,"&lt;="&amp;MIN(EOMONTH($AA18,0),$C$6))+($D$15="Oui")*SUMIFS(Donnees!$F$2:$F$2107,Donnees!$A$2:$A$2107,"&gt;="&amp;MAX($AA18,$C$5),Donnees!$A$2:$A$2107,"&lt;="&amp;MIN(EOMONTH($AA18,0),$C$6))+($D$16="Oui")*SUMIFS(Donnees!$G$2:$G$2107,Donnees!$A$2:$A$2107,"&gt;="&amp;MAX($AA18,$C$5),Donnees!$A$2:$A$2107,"&lt;="&amp;MIN(EOMONTH($AA18,0),$C$6))+($D$17="Oui")*SUMIFS(Donnees!$H$2:$H$2107,Donnees!$A$2:$A$2107,"&gt;="&amp;MAX($AA18,$C$5),Donnees!$A$2:$A$2107,"&lt;="&amp;MIN(EOMONTH($AA18,0),$C$6))+($D$18="Oui")*SUMIFS(Donnees!$I$2:$I$2107,Donnees!$A$2:$A$2107,"&gt;="&amp;MAX($AA18,$C$5),Donnees!$A$2:$A$2107,"&lt;="&amp;MIN(EOMONTH($AA18,0),$C$6)),NA())</f>
        <v>#N/A</v>
      </c>
    </row>
    <row r="19" spans="2:28" x14ac:dyDescent="0.25">
      <c r="B19" s="4"/>
      <c r="C19" s="4" t="s">
        <v>88</v>
      </c>
      <c r="D19" s="4"/>
      <c r="E19" s="14">
        <f>SUM(E11:E18)</f>
        <v>1824.8036666669998</v>
      </c>
      <c r="F19" s="14">
        <f>IF($C$7&gt;0,E19/$C$7,"")</f>
        <v>60.826788888899991</v>
      </c>
      <c r="G19" s="5"/>
      <c r="H19" s="5"/>
      <c r="I19" s="5"/>
      <c r="AA19" s="15">
        <v>41883</v>
      </c>
      <c r="AB19" s="14" t="e">
        <f>IF(AND(EOMONTH($AA19,0)&gt;=$C$5,$AA19&lt;=$C$6),($D$11="Oui")*SUMIFS(Donnees!$B$2:$B$2107,Donnees!$A$2:$A$2107,"&gt;="&amp;MAX($AA19,$C$5),Donnees!$A$2:$A$2107,"&lt;="&amp;MIN(EOMONTH($AA19,0),$C$6))+($D$12="Oui")*SUMIFS(Donnees!$C$2:$C$2107,Donnees!$A$2:$A$2107,"&gt;="&amp;MAX($AA19,$C$5),Donnees!$A$2:$A$2107,"&lt;="&amp;MIN(EOMONTH($AA19,0),$C$6))+($D$13="Oui")*SUMIFS(Donnees!$D$2:$D$2107,Donnees!$A$2:$A$2107,"&gt;="&amp;MAX($AA19,$C$5),Donnees!$A$2:$A$2107,"&lt;="&amp;MIN(EOMONTH($AA19,0),$C$6))+($D$14="Oui")*SUMIFS(Donnees!$E$2:$E$2107,Donnees!$A$2:$A$2107,"&gt;="&amp;MAX($AA19,$C$5),Donnees!$A$2:$A$2107,"&lt;="&amp;MIN(EOMONTH($AA19,0),$C$6))+($D$15="Oui")*SUMIFS(Donnees!$F$2:$F$2107,Donnees!$A$2:$A$2107,"&gt;="&amp;MAX($AA19,$C$5),Donnees!$A$2:$A$2107,"&lt;="&amp;MIN(EOMONTH($AA19,0),$C$6))+($D$16="Oui")*SUMIFS(Donnees!$G$2:$G$2107,Donnees!$A$2:$A$2107,"&gt;="&amp;MAX($AA19,$C$5),Donnees!$A$2:$A$2107,"&lt;="&amp;MIN(EOMONTH($AA19,0),$C$6))+($D$17="Oui")*SUMIFS(Donnees!$H$2:$H$2107,Donnees!$A$2:$A$2107,"&gt;="&amp;MAX($AA19,$C$5),Donnees!$A$2:$A$2107,"&lt;="&amp;MIN(EOMONTH($AA19,0),$C$6))+($D$18="Oui")*SUMIFS(Donnees!$I$2:$I$2107,Donnees!$A$2:$A$2107,"&gt;="&amp;MAX($AA19,$C$5),Donnees!$A$2:$A$2107,"&lt;="&amp;MIN(EOMONTH($AA19,0),$C$6)),NA())</f>
        <v>#N/A</v>
      </c>
    </row>
    <row r="20" spans="2:28" x14ac:dyDescent="0.25">
      <c r="AA20" s="15">
        <v>41913</v>
      </c>
      <c r="AB20" s="14" t="e">
        <f>IF(AND(EOMONTH($AA20,0)&gt;=$C$5,$AA20&lt;=$C$6),($D$11="Oui")*SUMIFS(Donnees!$B$2:$B$2107,Donnees!$A$2:$A$2107,"&gt;="&amp;MAX($AA20,$C$5),Donnees!$A$2:$A$2107,"&lt;="&amp;MIN(EOMONTH($AA20,0),$C$6))+($D$12="Oui")*SUMIFS(Donnees!$C$2:$C$2107,Donnees!$A$2:$A$2107,"&gt;="&amp;MAX($AA20,$C$5),Donnees!$A$2:$A$2107,"&lt;="&amp;MIN(EOMONTH($AA20,0),$C$6))+($D$13="Oui")*SUMIFS(Donnees!$D$2:$D$2107,Donnees!$A$2:$A$2107,"&gt;="&amp;MAX($AA20,$C$5),Donnees!$A$2:$A$2107,"&lt;="&amp;MIN(EOMONTH($AA20,0),$C$6))+($D$14="Oui")*SUMIFS(Donnees!$E$2:$E$2107,Donnees!$A$2:$A$2107,"&gt;="&amp;MAX($AA20,$C$5),Donnees!$A$2:$A$2107,"&lt;="&amp;MIN(EOMONTH($AA20,0),$C$6))+($D$15="Oui")*SUMIFS(Donnees!$F$2:$F$2107,Donnees!$A$2:$A$2107,"&gt;="&amp;MAX($AA20,$C$5),Donnees!$A$2:$A$2107,"&lt;="&amp;MIN(EOMONTH($AA20,0),$C$6))+($D$16="Oui")*SUMIFS(Donnees!$G$2:$G$2107,Donnees!$A$2:$A$2107,"&gt;="&amp;MAX($AA20,$C$5),Donnees!$A$2:$A$2107,"&lt;="&amp;MIN(EOMONTH($AA20,0),$C$6))+($D$17="Oui")*SUMIFS(Donnees!$H$2:$H$2107,Donnees!$A$2:$A$2107,"&gt;="&amp;MAX($AA20,$C$5),Donnees!$A$2:$A$2107,"&lt;="&amp;MIN(EOMONTH($AA20,0),$C$6))+($D$18="Oui")*SUMIFS(Donnees!$I$2:$I$2107,Donnees!$A$2:$A$2107,"&gt;="&amp;MAX($AA20,$C$5),Donnees!$A$2:$A$2107,"&lt;="&amp;MIN(EOMONTH($AA20,0),$C$6)),NA())</f>
        <v>#N/A</v>
      </c>
    </row>
    <row r="21" spans="2:28" x14ac:dyDescent="0.25">
      <c r="AA21" s="15">
        <v>41944</v>
      </c>
      <c r="AB21" s="14" t="e">
        <f>IF(AND(EOMONTH($AA21,0)&gt;=$C$5,$AA21&lt;=$C$6),($D$11="Oui")*SUMIFS(Donnees!$B$2:$B$2107,Donnees!$A$2:$A$2107,"&gt;="&amp;MAX($AA21,$C$5),Donnees!$A$2:$A$2107,"&lt;="&amp;MIN(EOMONTH($AA21,0),$C$6))+($D$12="Oui")*SUMIFS(Donnees!$C$2:$C$2107,Donnees!$A$2:$A$2107,"&gt;="&amp;MAX($AA21,$C$5),Donnees!$A$2:$A$2107,"&lt;="&amp;MIN(EOMONTH($AA21,0),$C$6))+($D$13="Oui")*SUMIFS(Donnees!$D$2:$D$2107,Donnees!$A$2:$A$2107,"&gt;="&amp;MAX($AA21,$C$5),Donnees!$A$2:$A$2107,"&lt;="&amp;MIN(EOMONTH($AA21,0),$C$6))+($D$14="Oui")*SUMIFS(Donnees!$E$2:$E$2107,Donnees!$A$2:$A$2107,"&gt;="&amp;MAX($AA21,$C$5),Donnees!$A$2:$A$2107,"&lt;="&amp;MIN(EOMONTH($AA21,0),$C$6))+($D$15="Oui")*SUMIFS(Donnees!$F$2:$F$2107,Donnees!$A$2:$A$2107,"&gt;="&amp;MAX($AA21,$C$5),Donnees!$A$2:$A$2107,"&lt;="&amp;MIN(EOMONTH($AA21,0),$C$6))+($D$16="Oui")*SUMIFS(Donnees!$G$2:$G$2107,Donnees!$A$2:$A$2107,"&gt;="&amp;MAX($AA21,$C$5),Donnees!$A$2:$A$2107,"&lt;="&amp;MIN(EOMONTH($AA21,0),$C$6))+($D$17="Oui")*SUMIFS(Donnees!$H$2:$H$2107,Donnees!$A$2:$A$2107,"&gt;="&amp;MAX($AA21,$C$5),Donnees!$A$2:$A$2107,"&lt;="&amp;MIN(EOMONTH($AA21,0),$C$6))+($D$18="Oui")*SUMIFS(Donnees!$I$2:$I$2107,Donnees!$A$2:$A$2107,"&gt;="&amp;MAX($AA21,$C$5),Donnees!$A$2:$A$2107,"&lt;="&amp;MIN(EOMONTH($AA21,0),$C$6)),NA())</f>
        <v>#N/A</v>
      </c>
    </row>
    <row r="22" spans="2:28" x14ac:dyDescent="0.25">
      <c r="AA22" s="15">
        <v>41974</v>
      </c>
      <c r="AB22" s="14" t="e">
        <f>IF(AND(EOMONTH($AA22,0)&gt;=$C$5,$AA22&lt;=$C$6),($D$11="Oui")*SUMIFS(Donnees!$B$2:$B$2107,Donnees!$A$2:$A$2107,"&gt;="&amp;MAX($AA22,$C$5),Donnees!$A$2:$A$2107,"&lt;="&amp;MIN(EOMONTH($AA22,0),$C$6))+($D$12="Oui")*SUMIFS(Donnees!$C$2:$C$2107,Donnees!$A$2:$A$2107,"&gt;="&amp;MAX($AA22,$C$5),Donnees!$A$2:$A$2107,"&lt;="&amp;MIN(EOMONTH($AA22,0),$C$6))+($D$13="Oui")*SUMIFS(Donnees!$D$2:$D$2107,Donnees!$A$2:$A$2107,"&gt;="&amp;MAX($AA22,$C$5),Donnees!$A$2:$A$2107,"&lt;="&amp;MIN(EOMONTH($AA22,0),$C$6))+($D$14="Oui")*SUMIFS(Donnees!$E$2:$E$2107,Donnees!$A$2:$A$2107,"&gt;="&amp;MAX($AA22,$C$5),Donnees!$A$2:$A$2107,"&lt;="&amp;MIN(EOMONTH($AA22,0),$C$6))+($D$15="Oui")*SUMIFS(Donnees!$F$2:$F$2107,Donnees!$A$2:$A$2107,"&gt;="&amp;MAX($AA22,$C$5),Donnees!$A$2:$A$2107,"&lt;="&amp;MIN(EOMONTH($AA22,0),$C$6))+($D$16="Oui")*SUMIFS(Donnees!$G$2:$G$2107,Donnees!$A$2:$A$2107,"&gt;="&amp;MAX($AA22,$C$5),Donnees!$A$2:$A$2107,"&lt;="&amp;MIN(EOMONTH($AA22,0),$C$6))+($D$17="Oui")*SUMIFS(Donnees!$H$2:$H$2107,Donnees!$A$2:$A$2107,"&gt;="&amp;MAX($AA22,$C$5),Donnees!$A$2:$A$2107,"&lt;="&amp;MIN(EOMONTH($AA22,0),$C$6))+($D$18="Oui")*SUMIFS(Donnees!$I$2:$I$2107,Donnees!$A$2:$A$2107,"&gt;="&amp;MAX($AA22,$C$5),Donnees!$A$2:$A$2107,"&lt;="&amp;MIN(EOMONTH($AA22,0),$C$6)),NA())</f>
        <v>#N/A</v>
      </c>
    </row>
    <row r="23" spans="2:28" x14ac:dyDescent="0.25">
      <c r="AA23" s="15">
        <v>42005</v>
      </c>
      <c r="AB23" s="14" t="e">
        <f>IF(AND(EOMONTH($AA23,0)&gt;=$C$5,$AA23&lt;=$C$6),($D$11="Oui")*SUMIFS(Donnees!$B$2:$B$2107,Donnees!$A$2:$A$2107,"&gt;="&amp;MAX($AA23,$C$5),Donnees!$A$2:$A$2107,"&lt;="&amp;MIN(EOMONTH($AA23,0),$C$6))+($D$12="Oui")*SUMIFS(Donnees!$C$2:$C$2107,Donnees!$A$2:$A$2107,"&gt;="&amp;MAX($AA23,$C$5),Donnees!$A$2:$A$2107,"&lt;="&amp;MIN(EOMONTH($AA23,0),$C$6))+($D$13="Oui")*SUMIFS(Donnees!$D$2:$D$2107,Donnees!$A$2:$A$2107,"&gt;="&amp;MAX($AA23,$C$5),Donnees!$A$2:$A$2107,"&lt;="&amp;MIN(EOMONTH($AA23,0),$C$6))+($D$14="Oui")*SUMIFS(Donnees!$E$2:$E$2107,Donnees!$A$2:$A$2107,"&gt;="&amp;MAX($AA23,$C$5),Donnees!$A$2:$A$2107,"&lt;="&amp;MIN(EOMONTH($AA23,0),$C$6))+($D$15="Oui")*SUMIFS(Donnees!$F$2:$F$2107,Donnees!$A$2:$A$2107,"&gt;="&amp;MAX($AA23,$C$5),Donnees!$A$2:$A$2107,"&lt;="&amp;MIN(EOMONTH($AA23,0),$C$6))+($D$16="Oui")*SUMIFS(Donnees!$G$2:$G$2107,Donnees!$A$2:$A$2107,"&gt;="&amp;MAX($AA23,$C$5),Donnees!$A$2:$A$2107,"&lt;="&amp;MIN(EOMONTH($AA23,0),$C$6))+($D$17="Oui")*SUMIFS(Donnees!$H$2:$H$2107,Donnees!$A$2:$A$2107,"&gt;="&amp;MAX($AA23,$C$5),Donnees!$A$2:$A$2107,"&lt;="&amp;MIN(EOMONTH($AA23,0),$C$6))+($D$18="Oui")*SUMIFS(Donnees!$I$2:$I$2107,Donnees!$A$2:$A$2107,"&gt;="&amp;MAX($AA23,$C$5),Donnees!$A$2:$A$2107,"&lt;="&amp;MIN(EOMONTH($AA23,0),$C$6)),NA())</f>
        <v>#N/A</v>
      </c>
    </row>
    <row r="24" spans="2:28" x14ac:dyDescent="0.25">
      <c r="AA24" s="15">
        <v>42036</v>
      </c>
      <c r="AB24" s="14" t="e">
        <f>IF(AND(EOMONTH($AA24,0)&gt;=$C$5,$AA24&lt;=$C$6),($D$11="Oui")*SUMIFS(Donnees!$B$2:$B$2107,Donnees!$A$2:$A$2107,"&gt;="&amp;MAX($AA24,$C$5),Donnees!$A$2:$A$2107,"&lt;="&amp;MIN(EOMONTH($AA24,0),$C$6))+($D$12="Oui")*SUMIFS(Donnees!$C$2:$C$2107,Donnees!$A$2:$A$2107,"&gt;="&amp;MAX($AA24,$C$5),Donnees!$A$2:$A$2107,"&lt;="&amp;MIN(EOMONTH($AA24,0),$C$6))+($D$13="Oui")*SUMIFS(Donnees!$D$2:$D$2107,Donnees!$A$2:$A$2107,"&gt;="&amp;MAX($AA24,$C$5),Donnees!$A$2:$A$2107,"&lt;="&amp;MIN(EOMONTH($AA24,0),$C$6))+($D$14="Oui")*SUMIFS(Donnees!$E$2:$E$2107,Donnees!$A$2:$A$2107,"&gt;="&amp;MAX($AA24,$C$5),Donnees!$A$2:$A$2107,"&lt;="&amp;MIN(EOMONTH($AA24,0),$C$6))+($D$15="Oui")*SUMIFS(Donnees!$F$2:$F$2107,Donnees!$A$2:$A$2107,"&gt;="&amp;MAX($AA24,$C$5),Donnees!$A$2:$A$2107,"&lt;="&amp;MIN(EOMONTH($AA24,0),$C$6))+($D$16="Oui")*SUMIFS(Donnees!$G$2:$G$2107,Donnees!$A$2:$A$2107,"&gt;="&amp;MAX($AA24,$C$5),Donnees!$A$2:$A$2107,"&lt;="&amp;MIN(EOMONTH($AA24,0),$C$6))+($D$17="Oui")*SUMIFS(Donnees!$H$2:$H$2107,Donnees!$A$2:$A$2107,"&gt;="&amp;MAX($AA24,$C$5),Donnees!$A$2:$A$2107,"&lt;="&amp;MIN(EOMONTH($AA24,0),$C$6))+($D$18="Oui")*SUMIFS(Donnees!$I$2:$I$2107,Donnees!$A$2:$A$2107,"&gt;="&amp;MAX($AA24,$C$5),Donnees!$A$2:$A$2107,"&lt;="&amp;MIN(EOMONTH($AA24,0),$C$6)),NA())</f>
        <v>#N/A</v>
      </c>
    </row>
    <row r="25" spans="2:28" x14ac:dyDescent="0.25">
      <c r="AA25" s="15">
        <v>42064</v>
      </c>
      <c r="AB25" s="14" t="e">
        <f>IF(AND(EOMONTH($AA25,0)&gt;=$C$5,$AA25&lt;=$C$6),($D$11="Oui")*SUMIFS(Donnees!$B$2:$B$2107,Donnees!$A$2:$A$2107,"&gt;="&amp;MAX($AA25,$C$5),Donnees!$A$2:$A$2107,"&lt;="&amp;MIN(EOMONTH($AA25,0),$C$6))+($D$12="Oui")*SUMIFS(Donnees!$C$2:$C$2107,Donnees!$A$2:$A$2107,"&gt;="&amp;MAX($AA25,$C$5),Donnees!$A$2:$A$2107,"&lt;="&amp;MIN(EOMONTH($AA25,0),$C$6))+($D$13="Oui")*SUMIFS(Donnees!$D$2:$D$2107,Donnees!$A$2:$A$2107,"&gt;="&amp;MAX($AA25,$C$5),Donnees!$A$2:$A$2107,"&lt;="&amp;MIN(EOMONTH($AA25,0),$C$6))+($D$14="Oui")*SUMIFS(Donnees!$E$2:$E$2107,Donnees!$A$2:$A$2107,"&gt;="&amp;MAX($AA25,$C$5),Donnees!$A$2:$A$2107,"&lt;="&amp;MIN(EOMONTH($AA25,0),$C$6))+($D$15="Oui")*SUMIFS(Donnees!$F$2:$F$2107,Donnees!$A$2:$A$2107,"&gt;="&amp;MAX($AA25,$C$5),Donnees!$A$2:$A$2107,"&lt;="&amp;MIN(EOMONTH($AA25,0),$C$6))+($D$16="Oui")*SUMIFS(Donnees!$G$2:$G$2107,Donnees!$A$2:$A$2107,"&gt;="&amp;MAX($AA25,$C$5),Donnees!$A$2:$A$2107,"&lt;="&amp;MIN(EOMONTH($AA25,0),$C$6))+($D$17="Oui")*SUMIFS(Donnees!$H$2:$H$2107,Donnees!$A$2:$A$2107,"&gt;="&amp;MAX($AA25,$C$5),Donnees!$A$2:$A$2107,"&lt;="&amp;MIN(EOMONTH($AA25,0),$C$6))+($D$18="Oui")*SUMIFS(Donnees!$I$2:$I$2107,Donnees!$A$2:$A$2107,"&gt;="&amp;MAX($AA25,$C$5),Donnees!$A$2:$A$2107,"&lt;="&amp;MIN(EOMONTH($AA25,0),$C$6)),NA())</f>
        <v>#N/A</v>
      </c>
    </row>
    <row r="26" spans="2:28" x14ac:dyDescent="0.25">
      <c r="AA26" s="15">
        <v>42095</v>
      </c>
      <c r="AB26" s="14" t="e">
        <f>IF(AND(EOMONTH($AA26,0)&gt;=$C$5,$AA26&lt;=$C$6),($D$11="Oui")*SUMIFS(Donnees!$B$2:$B$2107,Donnees!$A$2:$A$2107,"&gt;="&amp;MAX($AA26,$C$5),Donnees!$A$2:$A$2107,"&lt;="&amp;MIN(EOMONTH($AA26,0),$C$6))+($D$12="Oui")*SUMIFS(Donnees!$C$2:$C$2107,Donnees!$A$2:$A$2107,"&gt;="&amp;MAX($AA26,$C$5),Donnees!$A$2:$A$2107,"&lt;="&amp;MIN(EOMONTH($AA26,0),$C$6))+($D$13="Oui")*SUMIFS(Donnees!$D$2:$D$2107,Donnees!$A$2:$A$2107,"&gt;="&amp;MAX($AA26,$C$5),Donnees!$A$2:$A$2107,"&lt;="&amp;MIN(EOMONTH($AA26,0),$C$6))+($D$14="Oui")*SUMIFS(Donnees!$E$2:$E$2107,Donnees!$A$2:$A$2107,"&gt;="&amp;MAX($AA26,$C$5),Donnees!$A$2:$A$2107,"&lt;="&amp;MIN(EOMONTH($AA26,0),$C$6))+($D$15="Oui")*SUMIFS(Donnees!$F$2:$F$2107,Donnees!$A$2:$A$2107,"&gt;="&amp;MAX($AA26,$C$5),Donnees!$A$2:$A$2107,"&lt;="&amp;MIN(EOMONTH($AA26,0),$C$6))+($D$16="Oui")*SUMIFS(Donnees!$G$2:$G$2107,Donnees!$A$2:$A$2107,"&gt;="&amp;MAX($AA26,$C$5),Donnees!$A$2:$A$2107,"&lt;="&amp;MIN(EOMONTH($AA26,0),$C$6))+($D$17="Oui")*SUMIFS(Donnees!$H$2:$H$2107,Donnees!$A$2:$A$2107,"&gt;="&amp;MAX($AA26,$C$5),Donnees!$A$2:$A$2107,"&lt;="&amp;MIN(EOMONTH($AA26,0),$C$6))+($D$18="Oui")*SUMIFS(Donnees!$I$2:$I$2107,Donnees!$A$2:$A$2107,"&gt;="&amp;MAX($AA26,$C$5),Donnees!$A$2:$A$2107,"&lt;="&amp;MIN(EOMONTH($AA26,0),$C$6)),NA())</f>
        <v>#N/A</v>
      </c>
    </row>
    <row r="27" spans="2:28" x14ac:dyDescent="0.25">
      <c r="AA27" s="15">
        <v>42125</v>
      </c>
      <c r="AB27" s="14" t="e">
        <f>IF(AND(EOMONTH($AA27,0)&gt;=$C$5,$AA27&lt;=$C$6),($D$11="Oui")*SUMIFS(Donnees!$B$2:$B$2107,Donnees!$A$2:$A$2107,"&gt;="&amp;MAX($AA27,$C$5),Donnees!$A$2:$A$2107,"&lt;="&amp;MIN(EOMONTH($AA27,0),$C$6))+($D$12="Oui")*SUMIFS(Donnees!$C$2:$C$2107,Donnees!$A$2:$A$2107,"&gt;="&amp;MAX($AA27,$C$5),Donnees!$A$2:$A$2107,"&lt;="&amp;MIN(EOMONTH($AA27,0),$C$6))+($D$13="Oui")*SUMIFS(Donnees!$D$2:$D$2107,Donnees!$A$2:$A$2107,"&gt;="&amp;MAX($AA27,$C$5),Donnees!$A$2:$A$2107,"&lt;="&amp;MIN(EOMONTH($AA27,0),$C$6))+($D$14="Oui")*SUMIFS(Donnees!$E$2:$E$2107,Donnees!$A$2:$A$2107,"&gt;="&amp;MAX($AA27,$C$5),Donnees!$A$2:$A$2107,"&lt;="&amp;MIN(EOMONTH($AA27,0),$C$6))+($D$15="Oui")*SUMIFS(Donnees!$F$2:$F$2107,Donnees!$A$2:$A$2107,"&gt;="&amp;MAX($AA27,$C$5),Donnees!$A$2:$A$2107,"&lt;="&amp;MIN(EOMONTH($AA27,0),$C$6))+($D$16="Oui")*SUMIFS(Donnees!$G$2:$G$2107,Donnees!$A$2:$A$2107,"&gt;="&amp;MAX($AA27,$C$5),Donnees!$A$2:$A$2107,"&lt;="&amp;MIN(EOMONTH($AA27,0),$C$6))+($D$17="Oui")*SUMIFS(Donnees!$H$2:$H$2107,Donnees!$A$2:$A$2107,"&gt;="&amp;MAX($AA27,$C$5),Donnees!$A$2:$A$2107,"&lt;="&amp;MIN(EOMONTH($AA27,0),$C$6))+($D$18="Oui")*SUMIFS(Donnees!$I$2:$I$2107,Donnees!$A$2:$A$2107,"&gt;="&amp;MAX($AA27,$C$5),Donnees!$A$2:$A$2107,"&lt;="&amp;MIN(EOMONTH($AA27,0),$C$6)),NA())</f>
        <v>#N/A</v>
      </c>
    </row>
    <row r="28" spans="2:28" x14ac:dyDescent="0.25">
      <c r="AA28" s="15">
        <v>42156</v>
      </c>
      <c r="AB28" s="14" t="e">
        <f>IF(AND(EOMONTH($AA28,0)&gt;=$C$5,$AA28&lt;=$C$6),($D$11="Oui")*SUMIFS(Donnees!$B$2:$B$2107,Donnees!$A$2:$A$2107,"&gt;="&amp;MAX($AA28,$C$5),Donnees!$A$2:$A$2107,"&lt;="&amp;MIN(EOMONTH($AA28,0),$C$6))+($D$12="Oui")*SUMIFS(Donnees!$C$2:$C$2107,Donnees!$A$2:$A$2107,"&gt;="&amp;MAX($AA28,$C$5),Donnees!$A$2:$A$2107,"&lt;="&amp;MIN(EOMONTH($AA28,0),$C$6))+($D$13="Oui")*SUMIFS(Donnees!$D$2:$D$2107,Donnees!$A$2:$A$2107,"&gt;="&amp;MAX($AA28,$C$5),Donnees!$A$2:$A$2107,"&lt;="&amp;MIN(EOMONTH($AA28,0),$C$6))+($D$14="Oui")*SUMIFS(Donnees!$E$2:$E$2107,Donnees!$A$2:$A$2107,"&gt;="&amp;MAX($AA28,$C$5),Donnees!$A$2:$A$2107,"&lt;="&amp;MIN(EOMONTH($AA28,0),$C$6))+($D$15="Oui")*SUMIFS(Donnees!$F$2:$F$2107,Donnees!$A$2:$A$2107,"&gt;="&amp;MAX($AA28,$C$5),Donnees!$A$2:$A$2107,"&lt;="&amp;MIN(EOMONTH($AA28,0),$C$6))+($D$16="Oui")*SUMIFS(Donnees!$G$2:$G$2107,Donnees!$A$2:$A$2107,"&gt;="&amp;MAX($AA28,$C$5),Donnees!$A$2:$A$2107,"&lt;="&amp;MIN(EOMONTH($AA28,0),$C$6))+($D$17="Oui")*SUMIFS(Donnees!$H$2:$H$2107,Donnees!$A$2:$A$2107,"&gt;="&amp;MAX($AA28,$C$5),Donnees!$A$2:$A$2107,"&lt;="&amp;MIN(EOMONTH($AA28,0),$C$6))+($D$18="Oui")*SUMIFS(Donnees!$I$2:$I$2107,Donnees!$A$2:$A$2107,"&gt;="&amp;MAX($AA28,$C$5),Donnees!$A$2:$A$2107,"&lt;="&amp;MIN(EOMONTH($AA28,0),$C$6)),NA())</f>
        <v>#N/A</v>
      </c>
    </row>
    <row r="29" spans="2:28" x14ac:dyDescent="0.25">
      <c r="AA29" s="15">
        <v>42186</v>
      </c>
      <c r="AB29" s="14" t="e">
        <f>IF(AND(EOMONTH($AA29,0)&gt;=$C$5,$AA29&lt;=$C$6),($D$11="Oui")*SUMIFS(Donnees!$B$2:$B$2107,Donnees!$A$2:$A$2107,"&gt;="&amp;MAX($AA29,$C$5),Donnees!$A$2:$A$2107,"&lt;="&amp;MIN(EOMONTH($AA29,0),$C$6))+($D$12="Oui")*SUMIFS(Donnees!$C$2:$C$2107,Donnees!$A$2:$A$2107,"&gt;="&amp;MAX($AA29,$C$5),Donnees!$A$2:$A$2107,"&lt;="&amp;MIN(EOMONTH($AA29,0),$C$6))+($D$13="Oui")*SUMIFS(Donnees!$D$2:$D$2107,Donnees!$A$2:$A$2107,"&gt;="&amp;MAX($AA29,$C$5),Donnees!$A$2:$A$2107,"&lt;="&amp;MIN(EOMONTH($AA29,0),$C$6))+($D$14="Oui")*SUMIFS(Donnees!$E$2:$E$2107,Donnees!$A$2:$A$2107,"&gt;="&amp;MAX($AA29,$C$5),Donnees!$A$2:$A$2107,"&lt;="&amp;MIN(EOMONTH($AA29,0),$C$6))+($D$15="Oui")*SUMIFS(Donnees!$F$2:$F$2107,Donnees!$A$2:$A$2107,"&gt;="&amp;MAX($AA29,$C$5),Donnees!$A$2:$A$2107,"&lt;="&amp;MIN(EOMONTH($AA29,0),$C$6))+($D$16="Oui")*SUMIFS(Donnees!$G$2:$G$2107,Donnees!$A$2:$A$2107,"&gt;="&amp;MAX($AA29,$C$5),Donnees!$A$2:$A$2107,"&lt;="&amp;MIN(EOMONTH($AA29,0),$C$6))+($D$17="Oui")*SUMIFS(Donnees!$H$2:$H$2107,Donnees!$A$2:$A$2107,"&gt;="&amp;MAX($AA29,$C$5),Donnees!$A$2:$A$2107,"&lt;="&amp;MIN(EOMONTH($AA29,0),$C$6))+($D$18="Oui")*SUMIFS(Donnees!$I$2:$I$2107,Donnees!$A$2:$A$2107,"&gt;="&amp;MAX($AA29,$C$5),Donnees!$A$2:$A$2107,"&lt;="&amp;MIN(EOMONTH($AA29,0),$C$6)),NA())</f>
        <v>#N/A</v>
      </c>
    </row>
    <row r="30" spans="2:28" x14ac:dyDescent="0.25">
      <c r="AA30" s="15">
        <v>42217</v>
      </c>
      <c r="AB30" s="14" t="e">
        <f>IF(AND(EOMONTH($AA30,0)&gt;=$C$5,$AA30&lt;=$C$6),($D$11="Oui")*SUMIFS(Donnees!$B$2:$B$2107,Donnees!$A$2:$A$2107,"&gt;="&amp;MAX($AA30,$C$5),Donnees!$A$2:$A$2107,"&lt;="&amp;MIN(EOMONTH($AA30,0),$C$6))+($D$12="Oui")*SUMIFS(Donnees!$C$2:$C$2107,Donnees!$A$2:$A$2107,"&gt;="&amp;MAX($AA30,$C$5),Donnees!$A$2:$A$2107,"&lt;="&amp;MIN(EOMONTH($AA30,0),$C$6))+($D$13="Oui")*SUMIFS(Donnees!$D$2:$D$2107,Donnees!$A$2:$A$2107,"&gt;="&amp;MAX($AA30,$C$5),Donnees!$A$2:$A$2107,"&lt;="&amp;MIN(EOMONTH($AA30,0),$C$6))+($D$14="Oui")*SUMIFS(Donnees!$E$2:$E$2107,Donnees!$A$2:$A$2107,"&gt;="&amp;MAX($AA30,$C$5),Donnees!$A$2:$A$2107,"&lt;="&amp;MIN(EOMONTH($AA30,0),$C$6))+($D$15="Oui")*SUMIFS(Donnees!$F$2:$F$2107,Donnees!$A$2:$A$2107,"&gt;="&amp;MAX($AA30,$C$5),Donnees!$A$2:$A$2107,"&lt;="&amp;MIN(EOMONTH($AA30,0),$C$6))+($D$16="Oui")*SUMIFS(Donnees!$G$2:$G$2107,Donnees!$A$2:$A$2107,"&gt;="&amp;MAX($AA30,$C$5),Donnees!$A$2:$A$2107,"&lt;="&amp;MIN(EOMONTH($AA30,0),$C$6))+($D$17="Oui")*SUMIFS(Donnees!$H$2:$H$2107,Donnees!$A$2:$A$2107,"&gt;="&amp;MAX($AA30,$C$5),Donnees!$A$2:$A$2107,"&lt;="&amp;MIN(EOMONTH($AA30,0),$C$6))+($D$18="Oui")*SUMIFS(Donnees!$I$2:$I$2107,Donnees!$A$2:$A$2107,"&gt;="&amp;MAX($AA30,$C$5),Donnees!$A$2:$A$2107,"&lt;="&amp;MIN(EOMONTH($AA30,0),$C$6)),NA())</f>
        <v>#N/A</v>
      </c>
    </row>
    <row r="31" spans="2:28" x14ac:dyDescent="0.25">
      <c r="AA31" s="15">
        <v>42248</v>
      </c>
      <c r="AB31" s="14" t="e">
        <f>IF(AND(EOMONTH($AA31,0)&gt;=$C$5,$AA31&lt;=$C$6),($D$11="Oui")*SUMIFS(Donnees!$B$2:$B$2107,Donnees!$A$2:$A$2107,"&gt;="&amp;MAX($AA31,$C$5),Donnees!$A$2:$A$2107,"&lt;="&amp;MIN(EOMONTH($AA31,0),$C$6))+($D$12="Oui")*SUMIFS(Donnees!$C$2:$C$2107,Donnees!$A$2:$A$2107,"&gt;="&amp;MAX($AA31,$C$5),Donnees!$A$2:$A$2107,"&lt;="&amp;MIN(EOMONTH($AA31,0),$C$6))+($D$13="Oui")*SUMIFS(Donnees!$D$2:$D$2107,Donnees!$A$2:$A$2107,"&gt;="&amp;MAX($AA31,$C$5),Donnees!$A$2:$A$2107,"&lt;="&amp;MIN(EOMONTH($AA31,0),$C$6))+($D$14="Oui")*SUMIFS(Donnees!$E$2:$E$2107,Donnees!$A$2:$A$2107,"&gt;="&amp;MAX($AA31,$C$5),Donnees!$A$2:$A$2107,"&lt;="&amp;MIN(EOMONTH($AA31,0),$C$6))+($D$15="Oui")*SUMIFS(Donnees!$F$2:$F$2107,Donnees!$A$2:$A$2107,"&gt;="&amp;MAX($AA31,$C$5),Donnees!$A$2:$A$2107,"&lt;="&amp;MIN(EOMONTH($AA31,0),$C$6))+($D$16="Oui")*SUMIFS(Donnees!$G$2:$G$2107,Donnees!$A$2:$A$2107,"&gt;="&amp;MAX($AA31,$C$5),Donnees!$A$2:$A$2107,"&lt;="&amp;MIN(EOMONTH($AA31,0),$C$6))+($D$17="Oui")*SUMIFS(Donnees!$H$2:$H$2107,Donnees!$A$2:$A$2107,"&gt;="&amp;MAX($AA31,$C$5),Donnees!$A$2:$A$2107,"&lt;="&amp;MIN(EOMONTH($AA31,0),$C$6))+($D$18="Oui")*SUMIFS(Donnees!$I$2:$I$2107,Donnees!$A$2:$A$2107,"&gt;="&amp;MAX($AA31,$C$5),Donnees!$A$2:$A$2107,"&lt;="&amp;MIN(EOMONTH($AA31,0),$C$6)),NA())</f>
        <v>#N/A</v>
      </c>
    </row>
    <row r="32" spans="2:28" x14ac:dyDescent="0.25">
      <c r="AA32" s="15">
        <v>42278</v>
      </c>
      <c r="AB32" s="14" t="e">
        <f>IF(AND(EOMONTH($AA32,0)&gt;=$C$5,$AA32&lt;=$C$6),($D$11="Oui")*SUMIFS(Donnees!$B$2:$B$2107,Donnees!$A$2:$A$2107,"&gt;="&amp;MAX($AA32,$C$5),Donnees!$A$2:$A$2107,"&lt;="&amp;MIN(EOMONTH($AA32,0),$C$6))+($D$12="Oui")*SUMIFS(Donnees!$C$2:$C$2107,Donnees!$A$2:$A$2107,"&gt;="&amp;MAX($AA32,$C$5),Donnees!$A$2:$A$2107,"&lt;="&amp;MIN(EOMONTH($AA32,0),$C$6))+($D$13="Oui")*SUMIFS(Donnees!$D$2:$D$2107,Donnees!$A$2:$A$2107,"&gt;="&amp;MAX($AA32,$C$5),Donnees!$A$2:$A$2107,"&lt;="&amp;MIN(EOMONTH($AA32,0),$C$6))+($D$14="Oui")*SUMIFS(Donnees!$E$2:$E$2107,Donnees!$A$2:$A$2107,"&gt;="&amp;MAX($AA32,$C$5),Donnees!$A$2:$A$2107,"&lt;="&amp;MIN(EOMONTH($AA32,0),$C$6))+($D$15="Oui")*SUMIFS(Donnees!$F$2:$F$2107,Donnees!$A$2:$A$2107,"&gt;="&amp;MAX($AA32,$C$5),Donnees!$A$2:$A$2107,"&lt;="&amp;MIN(EOMONTH($AA32,0),$C$6))+($D$16="Oui")*SUMIFS(Donnees!$G$2:$G$2107,Donnees!$A$2:$A$2107,"&gt;="&amp;MAX($AA32,$C$5),Donnees!$A$2:$A$2107,"&lt;="&amp;MIN(EOMONTH($AA32,0),$C$6))+($D$17="Oui")*SUMIFS(Donnees!$H$2:$H$2107,Donnees!$A$2:$A$2107,"&gt;="&amp;MAX($AA32,$C$5),Donnees!$A$2:$A$2107,"&lt;="&amp;MIN(EOMONTH($AA32,0),$C$6))+($D$18="Oui")*SUMIFS(Donnees!$I$2:$I$2107,Donnees!$A$2:$A$2107,"&gt;="&amp;MAX($AA32,$C$5),Donnees!$A$2:$A$2107,"&lt;="&amp;MIN(EOMONTH($AA32,0),$C$6)),NA())</f>
        <v>#N/A</v>
      </c>
    </row>
    <row r="33" spans="2:28" x14ac:dyDescent="0.25">
      <c r="AA33" s="15">
        <v>42309</v>
      </c>
      <c r="AB33" s="14" t="e">
        <f>IF(AND(EOMONTH($AA33,0)&gt;=$C$5,$AA33&lt;=$C$6),($D$11="Oui")*SUMIFS(Donnees!$B$2:$B$2107,Donnees!$A$2:$A$2107,"&gt;="&amp;MAX($AA33,$C$5),Donnees!$A$2:$A$2107,"&lt;="&amp;MIN(EOMONTH($AA33,0),$C$6))+($D$12="Oui")*SUMIFS(Donnees!$C$2:$C$2107,Donnees!$A$2:$A$2107,"&gt;="&amp;MAX($AA33,$C$5),Donnees!$A$2:$A$2107,"&lt;="&amp;MIN(EOMONTH($AA33,0),$C$6))+($D$13="Oui")*SUMIFS(Donnees!$D$2:$D$2107,Donnees!$A$2:$A$2107,"&gt;="&amp;MAX($AA33,$C$5),Donnees!$A$2:$A$2107,"&lt;="&amp;MIN(EOMONTH($AA33,0),$C$6))+($D$14="Oui")*SUMIFS(Donnees!$E$2:$E$2107,Donnees!$A$2:$A$2107,"&gt;="&amp;MAX($AA33,$C$5),Donnees!$A$2:$A$2107,"&lt;="&amp;MIN(EOMONTH($AA33,0),$C$6))+($D$15="Oui")*SUMIFS(Donnees!$F$2:$F$2107,Donnees!$A$2:$A$2107,"&gt;="&amp;MAX($AA33,$C$5),Donnees!$A$2:$A$2107,"&lt;="&amp;MIN(EOMONTH($AA33,0),$C$6))+($D$16="Oui")*SUMIFS(Donnees!$G$2:$G$2107,Donnees!$A$2:$A$2107,"&gt;="&amp;MAX($AA33,$C$5),Donnees!$A$2:$A$2107,"&lt;="&amp;MIN(EOMONTH($AA33,0),$C$6))+($D$17="Oui")*SUMIFS(Donnees!$H$2:$H$2107,Donnees!$A$2:$A$2107,"&gt;="&amp;MAX($AA33,$C$5),Donnees!$A$2:$A$2107,"&lt;="&amp;MIN(EOMONTH($AA33,0),$C$6))+($D$18="Oui")*SUMIFS(Donnees!$I$2:$I$2107,Donnees!$A$2:$A$2107,"&gt;="&amp;MAX($AA33,$C$5),Donnees!$A$2:$A$2107,"&lt;="&amp;MIN(EOMONTH($AA33,0),$C$6)),NA())</f>
        <v>#N/A</v>
      </c>
    </row>
    <row r="34" spans="2:28" x14ac:dyDescent="0.25">
      <c r="AA34" s="15">
        <v>42339</v>
      </c>
      <c r="AB34" s="14" t="e">
        <f>IF(AND(EOMONTH($AA34,0)&gt;=$C$5,$AA34&lt;=$C$6),($D$11="Oui")*SUMIFS(Donnees!$B$2:$B$2107,Donnees!$A$2:$A$2107,"&gt;="&amp;MAX($AA34,$C$5),Donnees!$A$2:$A$2107,"&lt;="&amp;MIN(EOMONTH($AA34,0),$C$6))+($D$12="Oui")*SUMIFS(Donnees!$C$2:$C$2107,Donnees!$A$2:$A$2107,"&gt;="&amp;MAX($AA34,$C$5),Donnees!$A$2:$A$2107,"&lt;="&amp;MIN(EOMONTH($AA34,0),$C$6))+($D$13="Oui")*SUMIFS(Donnees!$D$2:$D$2107,Donnees!$A$2:$A$2107,"&gt;="&amp;MAX($AA34,$C$5),Donnees!$A$2:$A$2107,"&lt;="&amp;MIN(EOMONTH($AA34,0),$C$6))+($D$14="Oui")*SUMIFS(Donnees!$E$2:$E$2107,Donnees!$A$2:$A$2107,"&gt;="&amp;MAX($AA34,$C$5),Donnees!$A$2:$A$2107,"&lt;="&amp;MIN(EOMONTH($AA34,0),$C$6))+($D$15="Oui")*SUMIFS(Donnees!$F$2:$F$2107,Donnees!$A$2:$A$2107,"&gt;="&amp;MAX($AA34,$C$5),Donnees!$A$2:$A$2107,"&lt;="&amp;MIN(EOMONTH($AA34,0),$C$6))+($D$16="Oui")*SUMIFS(Donnees!$G$2:$G$2107,Donnees!$A$2:$A$2107,"&gt;="&amp;MAX($AA34,$C$5),Donnees!$A$2:$A$2107,"&lt;="&amp;MIN(EOMONTH($AA34,0),$C$6))+($D$17="Oui")*SUMIFS(Donnees!$H$2:$H$2107,Donnees!$A$2:$A$2107,"&gt;="&amp;MAX($AA34,$C$5),Donnees!$A$2:$A$2107,"&lt;="&amp;MIN(EOMONTH($AA34,0),$C$6))+($D$18="Oui")*SUMIFS(Donnees!$I$2:$I$2107,Donnees!$A$2:$A$2107,"&gt;="&amp;MAX($AA34,$C$5),Donnees!$A$2:$A$2107,"&lt;="&amp;MIN(EOMONTH($AA34,0),$C$6)),NA())</f>
        <v>#N/A</v>
      </c>
    </row>
    <row r="35" spans="2:28" x14ac:dyDescent="0.25">
      <c r="AA35" s="15">
        <v>42370</v>
      </c>
      <c r="AB35" s="14" t="e">
        <f>IF(AND(EOMONTH($AA35,0)&gt;=$C$5,$AA35&lt;=$C$6),($D$11="Oui")*SUMIFS(Donnees!$B$2:$B$2107,Donnees!$A$2:$A$2107,"&gt;="&amp;MAX($AA35,$C$5),Donnees!$A$2:$A$2107,"&lt;="&amp;MIN(EOMONTH($AA35,0),$C$6))+($D$12="Oui")*SUMIFS(Donnees!$C$2:$C$2107,Donnees!$A$2:$A$2107,"&gt;="&amp;MAX($AA35,$C$5),Donnees!$A$2:$A$2107,"&lt;="&amp;MIN(EOMONTH($AA35,0),$C$6))+($D$13="Oui")*SUMIFS(Donnees!$D$2:$D$2107,Donnees!$A$2:$A$2107,"&gt;="&amp;MAX($AA35,$C$5),Donnees!$A$2:$A$2107,"&lt;="&amp;MIN(EOMONTH($AA35,0),$C$6))+($D$14="Oui")*SUMIFS(Donnees!$E$2:$E$2107,Donnees!$A$2:$A$2107,"&gt;="&amp;MAX($AA35,$C$5),Donnees!$A$2:$A$2107,"&lt;="&amp;MIN(EOMONTH($AA35,0),$C$6))+($D$15="Oui")*SUMIFS(Donnees!$F$2:$F$2107,Donnees!$A$2:$A$2107,"&gt;="&amp;MAX($AA35,$C$5),Donnees!$A$2:$A$2107,"&lt;="&amp;MIN(EOMONTH($AA35,0),$C$6))+($D$16="Oui")*SUMIFS(Donnees!$G$2:$G$2107,Donnees!$A$2:$A$2107,"&gt;="&amp;MAX($AA35,$C$5),Donnees!$A$2:$A$2107,"&lt;="&amp;MIN(EOMONTH($AA35,0),$C$6))+($D$17="Oui")*SUMIFS(Donnees!$H$2:$H$2107,Donnees!$A$2:$A$2107,"&gt;="&amp;MAX($AA35,$C$5),Donnees!$A$2:$A$2107,"&lt;="&amp;MIN(EOMONTH($AA35,0),$C$6))+($D$18="Oui")*SUMIFS(Donnees!$I$2:$I$2107,Donnees!$A$2:$A$2107,"&gt;="&amp;MAX($AA35,$C$5),Donnees!$A$2:$A$2107,"&lt;="&amp;MIN(EOMONTH($AA35,0),$C$6)),NA())</f>
        <v>#N/A</v>
      </c>
    </row>
    <row r="36" spans="2:28" x14ac:dyDescent="0.25">
      <c r="AA36" s="15">
        <v>42401</v>
      </c>
      <c r="AB36" s="14" t="e">
        <f>IF(AND(EOMONTH($AA36,0)&gt;=$C$5,$AA36&lt;=$C$6),($D$11="Oui")*SUMIFS(Donnees!$B$2:$B$2107,Donnees!$A$2:$A$2107,"&gt;="&amp;MAX($AA36,$C$5),Donnees!$A$2:$A$2107,"&lt;="&amp;MIN(EOMONTH($AA36,0),$C$6))+($D$12="Oui")*SUMIFS(Donnees!$C$2:$C$2107,Donnees!$A$2:$A$2107,"&gt;="&amp;MAX($AA36,$C$5),Donnees!$A$2:$A$2107,"&lt;="&amp;MIN(EOMONTH($AA36,0),$C$6))+($D$13="Oui")*SUMIFS(Donnees!$D$2:$D$2107,Donnees!$A$2:$A$2107,"&gt;="&amp;MAX($AA36,$C$5),Donnees!$A$2:$A$2107,"&lt;="&amp;MIN(EOMONTH($AA36,0),$C$6))+($D$14="Oui")*SUMIFS(Donnees!$E$2:$E$2107,Donnees!$A$2:$A$2107,"&gt;="&amp;MAX($AA36,$C$5),Donnees!$A$2:$A$2107,"&lt;="&amp;MIN(EOMONTH($AA36,0),$C$6))+($D$15="Oui")*SUMIFS(Donnees!$F$2:$F$2107,Donnees!$A$2:$A$2107,"&gt;="&amp;MAX($AA36,$C$5),Donnees!$A$2:$A$2107,"&lt;="&amp;MIN(EOMONTH($AA36,0),$C$6))+($D$16="Oui")*SUMIFS(Donnees!$G$2:$G$2107,Donnees!$A$2:$A$2107,"&gt;="&amp;MAX($AA36,$C$5),Donnees!$A$2:$A$2107,"&lt;="&amp;MIN(EOMONTH($AA36,0),$C$6))+($D$17="Oui")*SUMIFS(Donnees!$H$2:$H$2107,Donnees!$A$2:$A$2107,"&gt;="&amp;MAX($AA36,$C$5),Donnees!$A$2:$A$2107,"&lt;="&amp;MIN(EOMONTH($AA36,0),$C$6))+($D$18="Oui")*SUMIFS(Donnees!$I$2:$I$2107,Donnees!$A$2:$A$2107,"&gt;="&amp;MAX($AA36,$C$5),Donnees!$A$2:$A$2107,"&lt;="&amp;MIN(EOMONTH($AA36,0),$C$6)),NA())</f>
        <v>#N/A</v>
      </c>
    </row>
    <row r="37" spans="2:28" x14ac:dyDescent="0.25">
      <c r="AA37" s="15">
        <v>42430</v>
      </c>
      <c r="AB37" s="14" t="e">
        <f>IF(AND(EOMONTH($AA37,0)&gt;=$C$5,$AA37&lt;=$C$6),($D$11="Oui")*SUMIFS(Donnees!$B$2:$B$2107,Donnees!$A$2:$A$2107,"&gt;="&amp;MAX($AA37,$C$5),Donnees!$A$2:$A$2107,"&lt;="&amp;MIN(EOMONTH($AA37,0),$C$6))+($D$12="Oui")*SUMIFS(Donnees!$C$2:$C$2107,Donnees!$A$2:$A$2107,"&gt;="&amp;MAX($AA37,$C$5),Donnees!$A$2:$A$2107,"&lt;="&amp;MIN(EOMONTH($AA37,0),$C$6))+($D$13="Oui")*SUMIFS(Donnees!$D$2:$D$2107,Donnees!$A$2:$A$2107,"&gt;="&amp;MAX($AA37,$C$5),Donnees!$A$2:$A$2107,"&lt;="&amp;MIN(EOMONTH($AA37,0),$C$6))+($D$14="Oui")*SUMIFS(Donnees!$E$2:$E$2107,Donnees!$A$2:$A$2107,"&gt;="&amp;MAX($AA37,$C$5),Donnees!$A$2:$A$2107,"&lt;="&amp;MIN(EOMONTH($AA37,0),$C$6))+($D$15="Oui")*SUMIFS(Donnees!$F$2:$F$2107,Donnees!$A$2:$A$2107,"&gt;="&amp;MAX($AA37,$C$5),Donnees!$A$2:$A$2107,"&lt;="&amp;MIN(EOMONTH($AA37,0),$C$6))+($D$16="Oui")*SUMIFS(Donnees!$G$2:$G$2107,Donnees!$A$2:$A$2107,"&gt;="&amp;MAX($AA37,$C$5),Donnees!$A$2:$A$2107,"&lt;="&amp;MIN(EOMONTH($AA37,0),$C$6))+($D$17="Oui")*SUMIFS(Donnees!$H$2:$H$2107,Donnees!$A$2:$A$2107,"&gt;="&amp;MAX($AA37,$C$5),Donnees!$A$2:$A$2107,"&lt;="&amp;MIN(EOMONTH($AA37,0),$C$6))+($D$18="Oui")*SUMIFS(Donnees!$I$2:$I$2107,Donnees!$A$2:$A$2107,"&gt;="&amp;MAX($AA37,$C$5),Donnees!$A$2:$A$2107,"&lt;="&amp;MIN(EOMONTH($AA37,0),$C$6)),NA())</f>
        <v>#N/A</v>
      </c>
    </row>
    <row r="38" spans="2:28" x14ac:dyDescent="0.25">
      <c r="AA38" s="15">
        <v>42461</v>
      </c>
      <c r="AB38" s="14" t="e">
        <f>IF(AND(EOMONTH($AA38,0)&gt;=$C$5,$AA38&lt;=$C$6),($D$11="Oui")*SUMIFS(Donnees!$B$2:$B$2107,Donnees!$A$2:$A$2107,"&gt;="&amp;MAX($AA38,$C$5),Donnees!$A$2:$A$2107,"&lt;="&amp;MIN(EOMONTH($AA38,0),$C$6))+($D$12="Oui")*SUMIFS(Donnees!$C$2:$C$2107,Donnees!$A$2:$A$2107,"&gt;="&amp;MAX($AA38,$C$5),Donnees!$A$2:$A$2107,"&lt;="&amp;MIN(EOMONTH($AA38,0),$C$6))+($D$13="Oui")*SUMIFS(Donnees!$D$2:$D$2107,Donnees!$A$2:$A$2107,"&gt;="&amp;MAX($AA38,$C$5),Donnees!$A$2:$A$2107,"&lt;="&amp;MIN(EOMONTH($AA38,0),$C$6))+($D$14="Oui")*SUMIFS(Donnees!$E$2:$E$2107,Donnees!$A$2:$A$2107,"&gt;="&amp;MAX($AA38,$C$5),Donnees!$A$2:$A$2107,"&lt;="&amp;MIN(EOMONTH($AA38,0),$C$6))+($D$15="Oui")*SUMIFS(Donnees!$F$2:$F$2107,Donnees!$A$2:$A$2107,"&gt;="&amp;MAX($AA38,$C$5),Donnees!$A$2:$A$2107,"&lt;="&amp;MIN(EOMONTH($AA38,0),$C$6))+($D$16="Oui")*SUMIFS(Donnees!$G$2:$G$2107,Donnees!$A$2:$A$2107,"&gt;="&amp;MAX($AA38,$C$5),Donnees!$A$2:$A$2107,"&lt;="&amp;MIN(EOMONTH($AA38,0),$C$6))+($D$17="Oui")*SUMIFS(Donnees!$H$2:$H$2107,Donnees!$A$2:$A$2107,"&gt;="&amp;MAX($AA38,$C$5),Donnees!$A$2:$A$2107,"&lt;="&amp;MIN(EOMONTH($AA38,0),$C$6))+($D$18="Oui")*SUMIFS(Donnees!$I$2:$I$2107,Donnees!$A$2:$A$2107,"&gt;="&amp;MAX($AA38,$C$5),Donnees!$A$2:$A$2107,"&lt;="&amp;MIN(EOMONTH($AA38,0),$C$6)),NA())</f>
        <v>#N/A</v>
      </c>
    </row>
    <row r="39" spans="2:28" ht="17.25" x14ac:dyDescent="0.25">
      <c r="B39" s="3" t="s">
        <v>91</v>
      </c>
      <c r="AA39" s="15">
        <v>42491</v>
      </c>
      <c r="AB39" s="14" t="e">
        <f>IF(AND(EOMONTH($AA39,0)&gt;=$C$5,$AA39&lt;=$C$6),($D$11="Oui")*SUMIFS(Donnees!$B$2:$B$2107,Donnees!$A$2:$A$2107,"&gt;="&amp;MAX($AA39,$C$5),Donnees!$A$2:$A$2107,"&lt;="&amp;MIN(EOMONTH($AA39,0),$C$6))+($D$12="Oui")*SUMIFS(Donnees!$C$2:$C$2107,Donnees!$A$2:$A$2107,"&gt;="&amp;MAX($AA39,$C$5),Donnees!$A$2:$A$2107,"&lt;="&amp;MIN(EOMONTH($AA39,0),$C$6))+($D$13="Oui")*SUMIFS(Donnees!$D$2:$D$2107,Donnees!$A$2:$A$2107,"&gt;="&amp;MAX($AA39,$C$5),Donnees!$A$2:$A$2107,"&lt;="&amp;MIN(EOMONTH($AA39,0),$C$6))+($D$14="Oui")*SUMIFS(Donnees!$E$2:$E$2107,Donnees!$A$2:$A$2107,"&gt;="&amp;MAX($AA39,$C$5),Donnees!$A$2:$A$2107,"&lt;="&amp;MIN(EOMONTH($AA39,0),$C$6))+($D$15="Oui")*SUMIFS(Donnees!$F$2:$F$2107,Donnees!$A$2:$A$2107,"&gt;="&amp;MAX($AA39,$C$5),Donnees!$A$2:$A$2107,"&lt;="&amp;MIN(EOMONTH($AA39,0),$C$6))+($D$16="Oui")*SUMIFS(Donnees!$G$2:$G$2107,Donnees!$A$2:$A$2107,"&gt;="&amp;MAX($AA39,$C$5),Donnees!$A$2:$A$2107,"&lt;="&amp;MIN(EOMONTH($AA39,0),$C$6))+($D$17="Oui")*SUMIFS(Donnees!$H$2:$H$2107,Donnees!$A$2:$A$2107,"&gt;="&amp;MAX($AA39,$C$5),Donnees!$A$2:$A$2107,"&lt;="&amp;MIN(EOMONTH($AA39,0),$C$6))+($D$18="Oui")*SUMIFS(Donnees!$I$2:$I$2107,Donnees!$A$2:$A$2107,"&gt;="&amp;MAX($AA39,$C$5),Donnees!$A$2:$A$2107,"&lt;="&amp;MIN(EOMONTH($AA39,0),$C$6)),NA())</f>
        <v>#N/A</v>
      </c>
    </row>
    <row r="40" spans="2:28" x14ac:dyDescent="0.25">
      <c r="B40" s="4" t="s">
        <v>92</v>
      </c>
      <c r="C40" s="4" t="s">
        <v>25</v>
      </c>
      <c r="D40" s="4" t="s">
        <v>32</v>
      </c>
      <c r="E40" s="4" t="s">
        <v>37</v>
      </c>
      <c r="F40" s="4" t="s">
        <v>44</v>
      </c>
      <c r="G40" s="4" t="s">
        <v>47</v>
      </c>
      <c r="H40" s="4" t="s">
        <v>51</v>
      </c>
      <c r="I40" s="4" t="s">
        <v>57</v>
      </c>
      <c r="J40" s="4" t="s">
        <v>61</v>
      </c>
      <c r="AA40" s="15">
        <v>42522</v>
      </c>
      <c r="AB40" s="14" t="e">
        <f>IF(AND(EOMONTH($AA40,0)&gt;=$C$5,$AA40&lt;=$C$6),($D$11="Oui")*SUMIFS(Donnees!$B$2:$B$2107,Donnees!$A$2:$A$2107,"&gt;="&amp;MAX($AA40,$C$5),Donnees!$A$2:$A$2107,"&lt;="&amp;MIN(EOMONTH($AA40,0),$C$6))+($D$12="Oui")*SUMIFS(Donnees!$C$2:$C$2107,Donnees!$A$2:$A$2107,"&gt;="&amp;MAX($AA40,$C$5),Donnees!$A$2:$A$2107,"&lt;="&amp;MIN(EOMONTH($AA40,0),$C$6))+($D$13="Oui")*SUMIFS(Donnees!$D$2:$D$2107,Donnees!$A$2:$A$2107,"&gt;="&amp;MAX($AA40,$C$5),Donnees!$A$2:$A$2107,"&lt;="&amp;MIN(EOMONTH($AA40,0),$C$6))+($D$14="Oui")*SUMIFS(Donnees!$E$2:$E$2107,Donnees!$A$2:$A$2107,"&gt;="&amp;MAX($AA40,$C$5),Donnees!$A$2:$A$2107,"&lt;="&amp;MIN(EOMONTH($AA40,0),$C$6))+($D$15="Oui")*SUMIFS(Donnees!$F$2:$F$2107,Donnees!$A$2:$A$2107,"&gt;="&amp;MAX($AA40,$C$5),Donnees!$A$2:$A$2107,"&lt;="&amp;MIN(EOMONTH($AA40,0),$C$6))+($D$16="Oui")*SUMIFS(Donnees!$G$2:$G$2107,Donnees!$A$2:$A$2107,"&gt;="&amp;MAX($AA40,$C$5),Donnees!$A$2:$A$2107,"&lt;="&amp;MIN(EOMONTH($AA40,0),$C$6))+($D$17="Oui")*SUMIFS(Donnees!$H$2:$H$2107,Donnees!$A$2:$A$2107,"&gt;="&amp;MAX($AA40,$C$5),Donnees!$A$2:$A$2107,"&lt;="&amp;MIN(EOMONTH($AA40,0),$C$6))+($D$18="Oui")*SUMIFS(Donnees!$I$2:$I$2107,Donnees!$A$2:$A$2107,"&gt;="&amp;MAX($AA40,$C$5),Donnees!$A$2:$A$2107,"&lt;="&amp;MIN(EOMONTH($AA40,0),$C$6)),NA())</f>
        <v>#N/A</v>
      </c>
    </row>
    <row r="41" spans="2:28" x14ac:dyDescent="0.25">
      <c r="B41" cm="1">
        <f t="array" ref="B41:J70">_xlfn._xlws.FILTER(Donnees!$A$2:$I$2107,(Donnees!$A$2:$A$2107&gt;=$C$5)*(Donnees!$A$2:$A$2107&lt;=$C$6),"Aucune donnée")</f>
        <v>43709</v>
      </c>
      <c r="C41">
        <v>2</v>
      </c>
      <c r="D41">
        <v>4.3600000000000003</v>
      </c>
      <c r="E41">
        <v>5</v>
      </c>
      <c r="F41">
        <v>17</v>
      </c>
      <c r="G41">
        <v>8.1999999999999993</v>
      </c>
      <c r="H41">
        <v>1</v>
      </c>
      <c r="I41">
        <v>5</v>
      </c>
      <c r="J41">
        <v>4</v>
      </c>
      <c r="AA41" s="15">
        <v>42552</v>
      </c>
      <c r="AB41" s="14" t="e">
        <f>IF(AND(EOMONTH($AA41,0)&gt;=$C$5,$AA41&lt;=$C$6),($D$11="Oui")*SUMIFS(Donnees!$B$2:$B$2107,Donnees!$A$2:$A$2107,"&gt;="&amp;MAX($AA41,$C$5),Donnees!$A$2:$A$2107,"&lt;="&amp;MIN(EOMONTH($AA41,0),$C$6))+($D$12="Oui")*SUMIFS(Donnees!$C$2:$C$2107,Donnees!$A$2:$A$2107,"&gt;="&amp;MAX($AA41,$C$5),Donnees!$A$2:$A$2107,"&lt;="&amp;MIN(EOMONTH($AA41,0),$C$6))+($D$13="Oui")*SUMIFS(Donnees!$D$2:$D$2107,Donnees!$A$2:$A$2107,"&gt;="&amp;MAX($AA41,$C$5),Donnees!$A$2:$A$2107,"&lt;="&amp;MIN(EOMONTH($AA41,0),$C$6))+($D$14="Oui")*SUMIFS(Donnees!$E$2:$E$2107,Donnees!$A$2:$A$2107,"&gt;="&amp;MAX($AA41,$C$5),Donnees!$A$2:$A$2107,"&lt;="&amp;MIN(EOMONTH($AA41,0),$C$6))+($D$15="Oui")*SUMIFS(Donnees!$F$2:$F$2107,Donnees!$A$2:$A$2107,"&gt;="&amp;MAX($AA41,$C$5),Donnees!$A$2:$A$2107,"&lt;="&amp;MIN(EOMONTH($AA41,0),$C$6))+($D$16="Oui")*SUMIFS(Donnees!$G$2:$G$2107,Donnees!$A$2:$A$2107,"&gt;="&amp;MAX($AA41,$C$5),Donnees!$A$2:$A$2107,"&lt;="&amp;MIN(EOMONTH($AA41,0),$C$6))+($D$17="Oui")*SUMIFS(Donnees!$H$2:$H$2107,Donnees!$A$2:$A$2107,"&gt;="&amp;MAX($AA41,$C$5),Donnees!$A$2:$A$2107,"&lt;="&amp;MIN(EOMONTH($AA41,0),$C$6))+($D$18="Oui")*SUMIFS(Donnees!$I$2:$I$2107,Donnees!$A$2:$A$2107,"&gt;="&amp;MAX($AA41,$C$5),Donnees!$A$2:$A$2107,"&lt;="&amp;MIN(EOMONTH($AA41,0),$C$6)),NA())</f>
        <v>#N/A</v>
      </c>
    </row>
    <row r="42" spans="2:28" x14ac:dyDescent="0.25">
      <c r="B42">
        <v>43710</v>
      </c>
      <c r="C42">
        <v>5.33</v>
      </c>
      <c r="D42">
        <v>2.0870000000000002</v>
      </c>
      <c r="E42">
        <v>2.5</v>
      </c>
      <c r="F42">
        <v>18</v>
      </c>
      <c r="G42">
        <v>7</v>
      </c>
      <c r="H42">
        <v>0</v>
      </c>
      <c r="I42">
        <v>1</v>
      </c>
      <c r="J42">
        <v>9</v>
      </c>
      <c r="AA42" s="15">
        <v>42583</v>
      </c>
      <c r="AB42" s="14" t="e">
        <f>IF(AND(EOMONTH($AA42,0)&gt;=$C$5,$AA42&lt;=$C$6),($D$11="Oui")*SUMIFS(Donnees!$B$2:$B$2107,Donnees!$A$2:$A$2107,"&gt;="&amp;MAX($AA42,$C$5),Donnees!$A$2:$A$2107,"&lt;="&amp;MIN(EOMONTH($AA42,0),$C$6))+($D$12="Oui")*SUMIFS(Donnees!$C$2:$C$2107,Donnees!$A$2:$A$2107,"&gt;="&amp;MAX($AA42,$C$5),Donnees!$A$2:$A$2107,"&lt;="&amp;MIN(EOMONTH($AA42,0),$C$6))+($D$13="Oui")*SUMIFS(Donnees!$D$2:$D$2107,Donnees!$A$2:$A$2107,"&gt;="&amp;MAX($AA42,$C$5),Donnees!$A$2:$A$2107,"&lt;="&amp;MIN(EOMONTH($AA42,0),$C$6))+($D$14="Oui")*SUMIFS(Donnees!$E$2:$E$2107,Donnees!$A$2:$A$2107,"&gt;="&amp;MAX($AA42,$C$5),Donnees!$A$2:$A$2107,"&lt;="&amp;MIN(EOMONTH($AA42,0),$C$6))+($D$15="Oui")*SUMIFS(Donnees!$F$2:$F$2107,Donnees!$A$2:$A$2107,"&gt;="&amp;MAX($AA42,$C$5),Donnees!$A$2:$A$2107,"&lt;="&amp;MIN(EOMONTH($AA42,0),$C$6))+($D$16="Oui")*SUMIFS(Donnees!$G$2:$G$2107,Donnees!$A$2:$A$2107,"&gt;="&amp;MAX($AA42,$C$5),Donnees!$A$2:$A$2107,"&lt;="&amp;MIN(EOMONTH($AA42,0),$C$6))+($D$17="Oui")*SUMIFS(Donnees!$H$2:$H$2107,Donnees!$A$2:$A$2107,"&gt;="&amp;MAX($AA42,$C$5),Donnees!$A$2:$A$2107,"&lt;="&amp;MIN(EOMONTH($AA42,0),$C$6))+($D$18="Oui")*SUMIFS(Donnees!$I$2:$I$2107,Donnees!$A$2:$A$2107,"&gt;="&amp;MAX($AA42,$C$5),Donnees!$A$2:$A$2107,"&lt;="&amp;MIN(EOMONTH($AA42,0),$C$6)),NA())</f>
        <v>#N/A</v>
      </c>
    </row>
    <row r="43" spans="2:28" x14ac:dyDescent="0.25">
      <c r="B43">
        <v>43711</v>
      </c>
      <c r="C43">
        <v>9.36</v>
      </c>
      <c r="D43">
        <v>2.35</v>
      </c>
      <c r="E43">
        <v>3.1</v>
      </c>
      <c r="F43">
        <v>12.125</v>
      </c>
      <c r="G43">
        <v>8</v>
      </c>
      <c r="H43">
        <v>3</v>
      </c>
      <c r="I43">
        <v>1</v>
      </c>
      <c r="J43">
        <v>2</v>
      </c>
      <c r="AA43" s="15">
        <v>42614</v>
      </c>
      <c r="AB43" s="14" t="e">
        <f>IF(AND(EOMONTH($AA43,0)&gt;=$C$5,$AA43&lt;=$C$6),($D$11="Oui")*SUMIFS(Donnees!$B$2:$B$2107,Donnees!$A$2:$A$2107,"&gt;="&amp;MAX($AA43,$C$5),Donnees!$A$2:$A$2107,"&lt;="&amp;MIN(EOMONTH($AA43,0),$C$6))+($D$12="Oui")*SUMIFS(Donnees!$C$2:$C$2107,Donnees!$A$2:$A$2107,"&gt;="&amp;MAX($AA43,$C$5),Donnees!$A$2:$A$2107,"&lt;="&amp;MIN(EOMONTH($AA43,0),$C$6))+($D$13="Oui")*SUMIFS(Donnees!$D$2:$D$2107,Donnees!$A$2:$A$2107,"&gt;="&amp;MAX($AA43,$C$5),Donnees!$A$2:$A$2107,"&lt;="&amp;MIN(EOMONTH($AA43,0),$C$6))+($D$14="Oui")*SUMIFS(Donnees!$E$2:$E$2107,Donnees!$A$2:$A$2107,"&gt;="&amp;MAX($AA43,$C$5),Donnees!$A$2:$A$2107,"&lt;="&amp;MIN(EOMONTH($AA43,0),$C$6))+($D$15="Oui")*SUMIFS(Donnees!$F$2:$F$2107,Donnees!$A$2:$A$2107,"&gt;="&amp;MAX($AA43,$C$5),Donnees!$A$2:$A$2107,"&lt;="&amp;MIN(EOMONTH($AA43,0),$C$6))+($D$16="Oui")*SUMIFS(Donnees!$G$2:$G$2107,Donnees!$A$2:$A$2107,"&gt;="&amp;MAX($AA43,$C$5),Donnees!$A$2:$A$2107,"&lt;="&amp;MIN(EOMONTH($AA43,0),$C$6))+($D$17="Oui")*SUMIFS(Donnees!$H$2:$H$2107,Donnees!$A$2:$A$2107,"&gt;="&amp;MAX($AA43,$C$5),Donnees!$A$2:$A$2107,"&lt;="&amp;MIN(EOMONTH($AA43,0),$C$6))+($D$18="Oui")*SUMIFS(Donnees!$I$2:$I$2107,Donnees!$A$2:$A$2107,"&gt;="&amp;MAX($AA43,$C$5),Donnees!$A$2:$A$2107,"&lt;="&amp;MIN(EOMONTH($AA43,0),$C$6)),NA())</f>
        <v>#N/A</v>
      </c>
    </row>
    <row r="44" spans="2:28" x14ac:dyDescent="0.25">
      <c r="B44">
        <v>43712</v>
      </c>
      <c r="C44">
        <v>2</v>
      </c>
      <c r="D44">
        <v>0.373</v>
      </c>
      <c r="E44">
        <v>2.15</v>
      </c>
      <c r="F44">
        <v>29.23</v>
      </c>
      <c r="G44">
        <v>7</v>
      </c>
      <c r="H44">
        <v>0</v>
      </c>
      <c r="I44">
        <v>3</v>
      </c>
      <c r="J44">
        <v>3</v>
      </c>
      <c r="AA44" s="15">
        <v>42644</v>
      </c>
      <c r="AB44" s="14" t="e">
        <f>IF(AND(EOMONTH($AA44,0)&gt;=$C$5,$AA44&lt;=$C$6),($D$11="Oui")*SUMIFS(Donnees!$B$2:$B$2107,Donnees!$A$2:$A$2107,"&gt;="&amp;MAX($AA44,$C$5),Donnees!$A$2:$A$2107,"&lt;="&amp;MIN(EOMONTH($AA44,0),$C$6))+($D$12="Oui")*SUMIFS(Donnees!$C$2:$C$2107,Donnees!$A$2:$A$2107,"&gt;="&amp;MAX($AA44,$C$5),Donnees!$A$2:$A$2107,"&lt;="&amp;MIN(EOMONTH($AA44,0),$C$6))+($D$13="Oui")*SUMIFS(Donnees!$D$2:$D$2107,Donnees!$A$2:$A$2107,"&gt;="&amp;MAX($AA44,$C$5),Donnees!$A$2:$A$2107,"&lt;="&amp;MIN(EOMONTH($AA44,0),$C$6))+($D$14="Oui")*SUMIFS(Donnees!$E$2:$E$2107,Donnees!$A$2:$A$2107,"&gt;="&amp;MAX($AA44,$C$5),Donnees!$A$2:$A$2107,"&lt;="&amp;MIN(EOMONTH($AA44,0),$C$6))+($D$15="Oui")*SUMIFS(Donnees!$F$2:$F$2107,Donnees!$A$2:$A$2107,"&gt;="&amp;MAX($AA44,$C$5),Donnees!$A$2:$A$2107,"&lt;="&amp;MIN(EOMONTH($AA44,0),$C$6))+($D$16="Oui")*SUMIFS(Donnees!$G$2:$G$2107,Donnees!$A$2:$A$2107,"&gt;="&amp;MAX($AA44,$C$5),Donnees!$A$2:$A$2107,"&lt;="&amp;MIN(EOMONTH($AA44,0),$C$6))+($D$17="Oui")*SUMIFS(Donnees!$H$2:$H$2107,Donnees!$A$2:$A$2107,"&gt;="&amp;MAX($AA44,$C$5),Donnees!$A$2:$A$2107,"&lt;="&amp;MIN(EOMONTH($AA44,0),$C$6))+($D$18="Oui")*SUMIFS(Donnees!$I$2:$I$2107,Donnees!$A$2:$A$2107,"&gt;="&amp;MAX($AA44,$C$5),Donnees!$A$2:$A$2107,"&lt;="&amp;MIN(EOMONTH($AA44,0),$C$6)),NA())</f>
        <v>#N/A</v>
      </c>
    </row>
    <row r="45" spans="2:28" x14ac:dyDescent="0.25">
      <c r="B45">
        <v>43713</v>
      </c>
      <c r="C45">
        <v>7</v>
      </c>
      <c r="D45">
        <v>9.5299999999999994</v>
      </c>
      <c r="E45">
        <v>2</v>
      </c>
      <c r="F45">
        <v>14</v>
      </c>
      <c r="G45">
        <v>1</v>
      </c>
      <c r="H45">
        <v>0</v>
      </c>
      <c r="I45">
        <v>1</v>
      </c>
      <c r="J45">
        <v>8</v>
      </c>
      <c r="AA45" s="15">
        <v>42675</v>
      </c>
      <c r="AB45" s="14" t="e">
        <f>IF(AND(EOMONTH($AA45,0)&gt;=$C$5,$AA45&lt;=$C$6),($D$11="Oui")*SUMIFS(Donnees!$B$2:$B$2107,Donnees!$A$2:$A$2107,"&gt;="&amp;MAX($AA45,$C$5),Donnees!$A$2:$A$2107,"&lt;="&amp;MIN(EOMONTH($AA45,0),$C$6))+($D$12="Oui")*SUMIFS(Donnees!$C$2:$C$2107,Donnees!$A$2:$A$2107,"&gt;="&amp;MAX($AA45,$C$5),Donnees!$A$2:$A$2107,"&lt;="&amp;MIN(EOMONTH($AA45,0),$C$6))+($D$13="Oui")*SUMIFS(Donnees!$D$2:$D$2107,Donnees!$A$2:$A$2107,"&gt;="&amp;MAX($AA45,$C$5),Donnees!$A$2:$A$2107,"&lt;="&amp;MIN(EOMONTH($AA45,0),$C$6))+($D$14="Oui")*SUMIFS(Donnees!$E$2:$E$2107,Donnees!$A$2:$A$2107,"&gt;="&amp;MAX($AA45,$C$5),Donnees!$A$2:$A$2107,"&lt;="&amp;MIN(EOMONTH($AA45,0),$C$6))+($D$15="Oui")*SUMIFS(Donnees!$F$2:$F$2107,Donnees!$A$2:$A$2107,"&gt;="&amp;MAX($AA45,$C$5),Donnees!$A$2:$A$2107,"&lt;="&amp;MIN(EOMONTH($AA45,0),$C$6))+($D$16="Oui")*SUMIFS(Donnees!$G$2:$G$2107,Donnees!$A$2:$A$2107,"&gt;="&amp;MAX($AA45,$C$5),Donnees!$A$2:$A$2107,"&lt;="&amp;MIN(EOMONTH($AA45,0),$C$6))+($D$17="Oui")*SUMIFS(Donnees!$H$2:$H$2107,Donnees!$A$2:$A$2107,"&gt;="&amp;MAX($AA45,$C$5),Donnees!$A$2:$A$2107,"&lt;="&amp;MIN(EOMONTH($AA45,0),$C$6))+($D$18="Oui")*SUMIFS(Donnees!$I$2:$I$2107,Donnees!$A$2:$A$2107,"&gt;="&amp;MAX($AA45,$C$5),Donnees!$A$2:$A$2107,"&lt;="&amp;MIN(EOMONTH($AA45,0),$C$6)),NA())</f>
        <v>#N/A</v>
      </c>
    </row>
    <row r="46" spans="2:28" x14ac:dyDescent="0.25">
      <c r="B46">
        <v>43714</v>
      </c>
      <c r="C46">
        <v>1.68</v>
      </c>
      <c r="D46">
        <v>2.67</v>
      </c>
      <c r="E46">
        <v>1</v>
      </c>
      <c r="F46">
        <v>28.4</v>
      </c>
      <c r="G46">
        <v>7</v>
      </c>
      <c r="H46">
        <v>0</v>
      </c>
      <c r="I46">
        <v>0</v>
      </c>
      <c r="J46">
        <v>1.5</v>
      </c>
      <c r="AA46" s="15">
        <v>42705</v>
      </c>
      <c r="AB46" s="14" t="e">
        <f>IF(AND(EOMONTH($AA46,0)&gt;=$C$5,$AA46&lt;=$C$6),($D$11="Oui")*SUMIFS(Donnees!$B$2:$B$2107,Donnees!$A$2:$A$2107,"&gt;="&amp;MAX($AA46,$C$5),Donnees!$A$2:$A$2107,"&lt;="&amp;MIN(EOMONTH($AA46,0),$C$6))+($D$12="Oui")*SUMIFS(Donnees!$C$2:$C$2107,Donnees!$A$2:$A$2107,"&gt;="&amp;MAX($AA46,$C$5),Donnees!$A$2:$A$2107,"&lt;="&amp;MIN(EOMONTH($AA46,0),$C$6))+($D$13="Oui")*SUMIFS(Donnees!$D$2:$D$2107,Donnees!$A$2:$A$2107,"&gt;="&amp;MAX($AA46,$C$5),Donnees!$A$2:$A$2107,"&lt;="&amp;MIN(EOMONTH($AA46,0),$C$6))+($D$14="Oui")*SUMIFS(Donnees!$E$2:$E$2107,Donnees!$A$2:$A$2107,"&gt;="&amp;MAX($AA46,$C$5),Donnees!$A$2:$A$2107,"&lt;="&amp;MIN(EOMONTH($AA46,0),$C$6))+($D$15="Oui")*SUMIFS(Donnees!$F$2:$F$2107,Donnees!$A$2:$A$2107,"&gt;="&amp;MAX($AA46,$C$5),Donnees!$A$2:$A$2107,"&lt;="&amp;MIN(EOMONTH($AA46,0),$C$6))+($D$16="Oui")*SUMIFS(Donnees!$G$2:$G$2107,Donnees!$A$2:$A$2107,"&gt;="&amp;MAX($AA46,$C$5),Donnees!$A$2:$A$2107,"&lt;="&amp;MIN(EOMONTH($AA46,0),$C$6))+($D$17="Oui")*SUMIFS(Donnees!$H$2:$H$2107,Donnees!$A$2:$A$2107,"&gt;="&amp;MAX($AA46,$C$5),Donnees!$A$2:$A$2107,"&lt;="&amp;MIN(EOMONTH($AA46,0),$C$6))+($D$18="Oui")*SUMIFS(Donnees!$I$2:$I$2107,Donnees!$A$2:$A$2107,"&gt;="&amp;MAX($AA46,$C$5),Donnees!$A$2:$A$2107,"&lt;="&amp;MIN(EOMONTH($AA46,0),$C$6)),NA())</f>
        <v>#N/A</v>
      </c>
    </row>
    <row r="47" spans="2:28" x14ac:dyDescent="0.25">
      <c r="B47">
        <v>43715</v>
      </c>
      <c r="C47">
        <v>8.33</v>
      </c>
      <c r="D47">
        <v>3.67</v>
      </c>
      <c r="E47">
        <v>2</v>
      </c>
      <c r="F47">
        <v>27</v>
      </c>
      <c r="G47">
        <v>14</v>
      </c>
      <c r="H47">
        <v>3</v>
      </c>
      <c r="I47">
        <v>6</v>
      </c>
      <c r="J47">
        <v>2</v>
      </c>
      <c r="AA47" s="15">
        <v>42736</v>
      </c>
      <c r="AB47" s="14" t="e">
        <f>IF(AND(EOMONTH($AA47,0)&gt;=$C$5,$AA47&lt;=$C$6),($D$11="Oui")*SUMIFS(Donnees!$B$2:$B$2107,Donnees!$A$2:$A$2107,"&gt;="&amp;MAX($AA47,$C$5),Donnees!$A$2:$A$2107,"&lt;="&amp;MIN(EOMONTH($AA47,0),$C$6))+($D$12="Oui")*SUMIFS(Donnees!$C$2:$C$2107,Donnees!$A$2:$A$2107,"&gt;="&amp;MAX($AA47,$C$5),Donnees!$A$2:$A$2107,"&lt;="&amp;MIN(EOMONTH($AA47,0),$C$6))+($D$13="Oui")*SUMIFS(Donnees!$D$2:$D$2107,Donnees!$A$2:$A$2107,"&gt;="&amp;MAX($AA47,$C$5),Donnees!$A$2:$A$2107,"&lt;="&amp;MIN(EOMONTH($AA47,0),$C$6))+($D$14="Oui")*SUMIFS(Donnees!$E$2:$E$2107,Donnees!$A$2:$A$2107,"&gt;="&amp;MAX($AA47,$C$5),Donnees!$A$2:$A$2107,"&lt;="&amp;MIN(EOMONTH($AA47,0),$C$6))+($D$15="Oui")*SUMIFS(Donnees!$F$2:$F$2107,Donnees!$A$2:$A$2107,"&gt;="&amp;MAX($AA47,$C$5),Donnees!$A$2:$A$2107,"&lt;="&amp;MIN(EOMONTH($AA47,0),$C$6))+($D$16="Oui")*SUMIFS(Donnees!$G$2:$G$2107,Donnees!$A$2:$A$2107,"&gt;="&amp;MAX($AA47,$C$5),Donnees!$A$2:$A$2107,"&lt;="&amp;MIN(EOMONTH($AA47,0),$C$6))+($D$17="Oui")*SUMIFS(Donnees!$H$2:$H$2107,Donnees!$A$2:$A$2107,"&gt;="&amp;MAX($AA47,$C$5),Donnees!$A$2:$A$2107,"&lt;="&amp;MIN(EOMONTH($AA47,0),$C$6))+($D$18="Oui")*SUMIFS(Donnees!$I$2:$I$2107,Donnees!$A$2:$A$2107,"&gt;="&amp;MAX($AA47,$C$5),Donnees!$A$2:$A$2107,"&lt;="&amp;MIN(EOMONTH($AA47,0),$C$6)),NA())</f>
        <v>#N/A</v>
      </c>
    </row>
    <row r="48" spans="2:28" x14ac:dyDescent="0.25">
      <c r="B48">
        <v>43716</v>
      </c>
      <c r="C48">
        <v>7.01</v>
      </c>
      <c r="D48">
        <v>6.0869999999999997</v>
      </c>
      <c r="E48">
        <v>3</v>
      </c>
      <c r="F48">
        <v>26</v>
      </c>
      <c r="G48">
        <v>7</v>
      </c>
      <c r="H48">
        <v>0</v>
      </c>
      <c r="I48">
        <v>3</v>
      </c>
      <c r="J48">
        <v>3</v>
      </c>
      <c r="AA48" s="15">
        <v>42767</v>
      </c>
      <c r="AB48" s="14" t="e">
        <f>IF(AND(EOMONTH($AA48,0)&gt;=$C$5,$AA48&lt;=$C$6),($D$11="Oui")*SUMIFS(Donnees!$B$2:$B$2107,Donnees!$A$2:$A$2107,"&gt;="&amp;MAX($AA48,$C$5),Donnees!$A$2:$A$2107,"&lt;="&amp;MIN(EOMONTH($AA48,0),$C$6))+($D$12="Oui")*SUMIFS(Donnees!$C$2:$C$2107,Donnees!$A$2:$A$2107,"&gt;="&amp;MAX($AA48,$C$5),Donnees!$A$2:$A$2107,"&lt;="&amp;MIN(EOMONTH($AA48,0),$C$6))+($D$13="Oui")*SUMIFS(Donnees!$D$2:$D$2107,Donnees!$A$2:$A$2107,"&gt;="&amp;MAX($AA48,$C$5),Donnees!$A$2:$A$2107,"&lt;="&amp;MIN(EOMONTH($AA48,0),$C$6))+($D$14="Oui")*SUMIFS(Donnees!$E$2:$E$2107,Donnees!$A$2:$A$2107,"&gt;="&amp;MAX($AA48,$C$5),Donnees!$A$2:$A$2107,"&lt;="&amp;MIN(EOMONTH($AA48,0),$C$6))+($D$15="Oui")*SUMIFS(Donnees!$F$2:$F$2107,Donnees!$A$2:$A$2107,"&gt;="&amp;MAX($AA48,$C$5),Donnees!$A$2:$A$2107,"&lt;="&amp;MIN(EOMONTH($AA48,0),$C$6))+($D$16="Oui")*SUMIFS(Donnees!$G$2:$G$2107,Donnees!$A$2:$A$2107,"&gt;="&amp;MAX($AA48,$C$5),Donnees!$A$2:$A$2107,"&lt;="&amp;MIN(EOMONTH($AA48,0),$C$6))+($D$17="Oui")*SUMIFS(Donnees!$H$2:$H$2107,Donnees!$A$2:$A$2107,"&gt;="&amp;MAX($AA48,$C$5),Donnees!$A$2:$A$2107,"&lt;="&amp;MIN(EOMONTH($AA48,0),$C$6))+($D$18="Oui")*SUMIFS(Donnees!$I$2:$I$2107,Donnees!$A$2:$A$2107,"&gt;="&amp;MAX($AA48,$C$5),Donnees!$A$2:$A$2107,"&lt;="&amp;MIN(EOMONTH($AA48,0),$C$6)),NA())</f>
        <v>#N/A</v>
      </c>
    </row>
    <row r="49" spans="2:28" x14ac:dyDescent="0.25">
      <c r="B49">
        <v>43717</v>
      </c>
      <c r="C49">
        <v>1.18</v>
      </c>
      <c r="D49">
        <v>2.1240000000000001</v>
      </c>
      <c r="E49">
        <v>3</v>
      </c>
      <c r="F49">
        <v>26</v>
      </c>
      <c r="G49">
        <v>4</v>
      </c>
      <c r="H49">
        <v>3</v>
      </c>
      <c r="I49">
        <v>5</v>
      </c>
      <c r="J49">
        <v>2</v>
      </c>
      <c r="AA49" s="15">
        <v>42795</v>
      </c>
      <c r="AB49" s="14" t="e">
        <f>IF(AND(EOMONTH($AA49,0)&gt;=$C$5,$AA49&lt;=$C$6),($D$11="Oui")*SUMIFS(Donnees!$B$2:$B$2107,Donnees!$A$2:$A$2107,"&gt;="&amp;MAX($AA49,$C$5),Donnees!$A$2:$A$2107,"&lt;="&amp;MIN(EOMONTH($AA49,0),$C$6))+($D$12="Oui")*SUMIFS(Donnees!$C$2:$C$2107,Donnees!$A$2:$A$2107,"&gt;="&amp;MAX($AA49,$C$5),Donnees!$A$2:$A$2107,"&lt;="&amp;MIN(EOMONTH($AA49,0),$C$6))+($D$13="Oui")*SUMIFS(Donnees!$D$2:$D$2107,Donnees!$A$2:$A$2107,"&gt;="&amp;MAX($AA49,$C$5),Donnees!$A$2:$A$2107,"&lt;="&amp;MIN(EOMONTH($AA49,0),$C$6))+($D$14="Oui")*SUMIFS(Donnees!$E$2:$E$2107,Donnees!$A$2:$A$2107,"&gt;="&amp;MAX($AA49,$C$5),Donnees!$A$2:$A$2107,"&lt;="&amp;MIN(EOMONTH($AA49,0),$C$6))+($D$15="Oui")*SUMIFS(Donnees!$F$2:$F$2107,Donnees!$A$2:$A$2107,"&gt;="&amp;MAX($AA49,$C$5),Donnees!$A$2:$A$2107,"&lt;="&amp;MIN(EOMONTH($AA49,0),$C$6))+($D$16="Oui")*SUMIFS(Donnees!$G$2:$G$2107,Donnees!$A$2:$A$2107,"&gt;="&amp;MAX($AA49,$C$5),Donnees!$A$2:$A$2107,"&lt;="&amp;MIN(EOMONTH($AA49,0),$C$6))+($D$17="Oui")*SUMIFS(Donnees!$H$2:$H$2107,Donnees!$A$2:$A$2107,"&gt;="&amp;MAX($AA49,$C$5),Donnees!$A$2:$A$2107,"&lt;="&amp;MIN(EOMONTH($AA49,0),$C$6))+($D$18="Oui")*SUMIFS(Donnees!$I$2:$I$2107,Donnees!$A$2:$A$2107,"&gt;="&amp;MAX($AA49,$C$5),Donnees!$A$2:$A$2107,"&lt;="&amp;MIN(EOMONTH($AA49,0),$C$6)),NA())</f>
        <v>#N/A</v>
      </c>
    </row>
    <row r="50" spans="2:28" x14ac:dyDescent="0.25">
      <c r="B50">
        <v>43718</v>
      </c>
      <c r="C50">
        <v>8.66</v>
      </c>
      <c r="D50">
        <v>6.68</v>
      </c>
      <c r="E50">
        <v>4.2</v>
      </c>
      <c r="F50">
        <v>22</v>
      </c>
      <c r="G50">
        <v>17</v>
      </c>
      <c r="H50">
        <v>0</v>
      </c>
      <c r="I50">
        <v>1</v>
      </c>
      <c r="J50">
        <v>1</v>
      </c>
      <c r="AA50" s="15">
        <v>42826</v>
      </c>
      <c r="AB50" s="14" t="e">
        <f>IF(AND(EOMONTH($AA50,0)&gt;=$C$5,$AA50&lt;=$C$6),($D$11="Oui")*SUMIFS(Donnees!$B$2:$B$2107,Donnees!$A$2:$A$2107,"&gt;="&amp;MAX($AA50,$C$5),Donnees!$A$2:$A$2107,"&lt;="&amp;MIN(EOMONTH($AA50,0),$C$6))+($D$12="Oui")*SUMIFS(Donnees!$C$2:$C$2107,Donnees!$A$2:$A$2107,"&gt;="&amp;MAX($AA50,$C$5),Donnees!$A$2:$A$2107,"&lt;="&amp;MIN(EOMONTH($AA50,0),$C$6))+($D$13="Oui")*SUMIFS(Donnees!$D$2:$D$2107,Donnees!$A$2:$A$2107,"&gt;="&amp;MAX($AA50,$C$5),Donnees!$A$2:$A$2107,"&lt;="&amp;MIN(EOMONTH($AA50,0),$C$6))+($D$14="Oui")*SUMIFS(Donnees!$E$2:$E$2107,Donnees!$A$2:$A$2107,"&gt;="&amp;MAX($AA50,$C$5),Donnees!$A$2:$A$2107,"&lt;="&amp;MIN(EOMONTH($AA50,0),$C$6))+($D$15="Oui")*SUMIFS(Donnees!$F$2:$F$2107,Donnees!$A$2:$A$2107,"&gt;="&amp;MAX($AA50,$C$5),Donnees!$A$2:$A$2107,"&lt;="&amp;MIN(EOMONTH($AA50,0),$C$6))+($D$16="Oui")*SUMIFS(Donnees!$G$2:$G$2107,Donnees!$A$2:$A$2107,"&gt;="&amp;MAX($AA50,$C$5),Donnees!$A$2:$A$2107,"&lt;="&amp;MIN(EOMONTH($AA50,0),$C$6))+($D$17="Oui")*SUMIFS(Donnees!$H$2:$H$2107,Donnees!$A$2:$A$2107,"&gt;="&amp;MAX($AA50,$C$5),Donnees!$A$2:$A$2107,"&lt;="&amp;MIN(EOMONTH($AA50,0),$C$6))+($D$18="Oui")*SUMIFS(Donnees!$I$2:$I$2107,Donnees!$A$2:$A$2107,"&gt;="&amp;MAX($AA50,$C$5),Donnees!$A$2:$A$2107,"&lt;="&amp;MIN(EOMONTH($AA50,0),$C$6)),NA())</f>
        <v>#N/A</v>
      </c>
    </row>
    <row r="51" spans="2:28" x14ac:dyDescent="0.25">
      <c r="B51">
        <v>43719</v>
      </c>
      <c r="C51">
        <v>2.67</v>
      </c>
      <c r="D51">
        <v>5.0759999999999996</v>
      </c>
      <c r="E51">
        <v>3</v>
      </c>
      <c r="F51">
        <v>42</v>
      </c>
      <c r="G51">
        <v>5</v>
      </c>
      <c r="H51">
        <v>0</v>
      </c>
      <c r="I51">
        <v>5</v>
      </c>
      <c r="J51">
        <v>2.5</v>
      </c>
      <c r="AA51" s="15">
        <v>42856</v>
      </c>
      <c r="AB51" s="14" t="e">
        <f>IF(AND(EOMONTH($AA51,0)&gt;=$C$5,$AA51&lt;=$C$6),($D$11="Oui")*SUMIFS(Donnees!$B$2:$B$2107,Donnees!$A$2:$A$2107,"&gt;="&amp;MAX($AA51,$C$5),Donnees!$A$2:$A$2107,"&lt;="&amp;MIN(EOMONTH($AA51,0),$C$6))+($D$12="Oui")*SUMIFS(Donnees!$C$2:$C$2107,Donnees!$A$2:$A$2107,"&gt;="&amp;MAX($AA51,$C$5),Donnees!$A$2:$A$2107,"&lt;="&amp;MIN(EOMONTH($AA51,0),$C$6))+($D$13="Oui")*SUMIFS(Donnees!$D$2:$D$2107,Donnees!$A$2:$A$2107,"&gt;="&amp;MAX($AA51,$C$5),Donnees!$A$2:$A$2107,"&lt;="&amp;MIN(EOMONTH($AA51,0),$C$6))+($D$14="Oui")*SUMIFS(Donnees!$E$2:$E$2107,Donnees!$A$2:$A$2107,"&gt;="&amp;MAX($AA51,$C$5),Donnees!$A$2:$A$2107,"&lt;="&amp;MIN(EOMONTH($AA51,0),$C$6))+($D$15="Oui")*SUMIFS(Donnees!$F$2:$F$2107,Donnees!$A$2:$A$2107,"&gt;="&amp;MAX($AA51,$C$5),Donnees!$A$2:$A$2107,"&lt;="&amp;MIN(EOMONTH($AA51,0),$C$6))+($D$16="Oui")*SUMIFS(Donnees!$G$2:$G$2107,Donnees!$A$2:$A$2107,"&gt;="&amp;MAX($AA51,$C$5),Donnees!$A$2:$A$2107,"&lt;="&amp;MIN(EOMONTH($AA51,0),$C$6))+($D$17="Oui")*SUMIFS(Donnees!$H$2:$H$2107,Donnees!$A$2:$A$2107,"&gt;="&amp;MAX($AA51,$C$5),Donnees!$A$2:$A$2107,"&lt;="&amp;MIN(EOMONTH($AA51,0),$C$6))+($D$18="Oui")*SUMIFS(Donnees!$I$2:$I$2107,Donnees!$A$2:$A$2107,"&gt;="&amp;MAX($AA51,$C$5),Donnees!$A$2:$A$2107,"&lt;="&amp;MIN(EOMONTH($AA51,0),$C$6)),NA())</f>
        <v>#N/A</v>
      </c>
    </row>
    <row r="52" spans="2:28" x14ac:dyDescent="0.25">
      <c r="B52">
        <v>43720</v>
      </c>
      <c r="C52">
        <v>2.33</v>
      </c>
      <c r="D52">
        <v>1.34</v>
      </c>
      <c r="E52">
        <v>2</v>
      </c>
      <c r="F52">
        <v>21.975000000000001</v>
      </c>
      <c r="G52">
        <v>11.2</v>
      </c>
      <c r="H52">
        <v>0</v>
      </c>
      <c r="I52">
        <v>10</v>
      </c>
      <c r="J52">
        <v>4</v>
      </c>
      <c r="AA52" s="15">
        <v>42887</v>
      </c>
      <c r="AB52" s="14" t="e">
        <f>IF(AND(EOMONTH($AA52,0)&gt;=$C$5,$AA52&lt;=$C$6),($D$11="Oui")*SUMIFS(Donnees!$B$2:$B$2107,Donnees!$A$2:$A$2107,"&gt;="&amp;MAX($AA52,$C$5),Donnees!$A$2:$A$2107,"&lt;="&amp;MIN(EOMONTH($AA52,0),$C$6))+($D$12="Oui")*SUMIFS(Donnees!$C$2:$C$2107,Donnees!$A$2:$A$2107,"&gt;="&amp;MAX($AA52,$C$5),Donnees!$A$2:$A$2107,"&lt;="&amp;MIN(EOMONTH($AA52,0),$C$6))+($D$13="Oui")*SUMIFS(Donnees!$D$2:$D$2107,Donnees!$A$2:$A$2107,"&gt;="&amp;MAX($AA52,$C$5),Donnees!$A$2:$A$2107,"&lt;="&amp;MIN(EOMONTH($AA52,0),$C$6))+($D$14="Oui")*SUMIFS(Donnees!$E$2:$E$2107,Donnees!$A$2:$A$2107,"&gt;="&amp;MAX($AA52,$C$5),Donnees!$A$2:$A$2107,"&lt;="&amp;MIN(EOMONTH($AA52,0),$C$6))+($D$15="Oui")*SUMIFS(Donnees!$F$2:$F$2107,Donnees!$A$2:$A$2107,"&gt;="&amp;MAX($AA52,$C$5),Donnees!$A$2:$A$2107,"&lt;="&amp;MIN(EOMONTH($AA52,0),$C$6))+($D$16="Oui")*SUMIFS(Donnees!$G$2:$G$2107,Donnees!$A$2:$A$2107,"&gt;="&amp;MAX($AA52,$C$5),Donnees!$A$2:$A$2107,"&lt;="&amp;MIN(EOMONTH($AA52,0),$C$6))+($D$17="Oui")*SUMIFS(Donnees!$H$2:$H$2107,Donnees!$A$2:$A$2107,"&gt;="&amp;MAX($AA52,$C$5),Donnees!$A$2:$A$2107,"&lt;="&amp;MIN(EOMONTH($AA52,0),$C$6))+($D$18="Oui")*SUMIFS(Donnees!$I$2:$I$2107,Donnees!$A$2:$A$2107,"&gt;="&amp;MAX($AA52,$C$5),Donnees!$A$2:$A$2107,"&lt;="&amp;MIN(EOMONTH($AA52,0),$C$6)),NA())</f>
        <v>#N/A</v>
      </c>
    </row>
    <row r="53" spans="2:28" x14ac:dyDescent="0.25">
      <c r="B53">
        <v>43721</v>
      </c>
      <c r="C53">
        <v>6.34</v>
      </c>
      <c r="D53">
        <v>3.35</v>
      </c>
      <c r="E53">
        <v>2</v>
      </c>
      <c r="F53">
        <v>17</v>
      </c>
      <c r="G53">
        <v>12</v>
      </c>
      <c r="H53">
        <v>2</v>
      </c>
      <c r="I53">
        <v>5</v>
      </c>
      <c r="J53">
        <v>5</v>
      </c>
      <c r="AA53" s="15">
        <v>42917</v>
      </c>
      <c r="AB53" s="14" t="e">
        <f>IF(AND(EOMONTH($AA53,0)&gt;=$C$5,$AA53&lt;=$C$6),($D$11="Oui")*SUMIFS(Donnees!$B$2:$B$2107,Donnees!$A$2:$A$2107,"&gt;="&amp;MAX($AA53,$C$5),Donnees!$A$2:$A$2107,"&lt;="&amp;MIN(EOMONTH($AA53,0),$C$6))+($D$12="Oui")*SUMIFS(Donnees!$C$2:$C$2107,Donnees!$A$2:$A$2107,"&gt;="&amp;MAX($AA53,$C$5),Donnees!$A$2:$A$2107,"&lt;="&amp;MIN(EOMONTH($AA53,0),$C$6))+($D$13="Oui")*SUMIFS(Donnees!$D$2:$D$2107,Donnees!$A$2:$A$2107,"&gt;="&amp;MAX($AA53,$C$5),Donnees!$A$2:$A$2107,"&lt;="&amp;MIN(EOMONTH($AA53,0),$C$6))+($D$14="Oui")*SUMIFS(Donnees!$E$2:$E$2107,Donnees!$A$2:$A$2107,"&gt;="&amp;MAX($AA53,$C$5),Donnees!$A$2:$A$2107,"&lt;="&amp;MIN(EOMONTH($AA53,0),$C$6))+($D$15="Oui")*SUMIFS(Donnees!$F$2:$F$2107,Donnees!$A$2:$A$2107,"&gt;="&amp;MAX($AA53,$C$5),Donnees!$A$2:$A$2107,"&lt;="&amp;MIN(EOMONTH($AA53,0),$C$6))+($D$16="Oui")*SUMIFS(Donnees!$G$2:$G$2107,Donnees!$A$2:$A$2107,"&gt;="&amp;MAX($AA53,$C$5),Donnees!$A$2:$A$2107,"&lt;="&amp;MIN(EOMONTH($AA53,0),$C$6))+($D$17="Oui")*SUMIFS(Donnees!$H$2:$H$2107,Donnees!$A$2:$A$2107,"&gt;="&amp;MAX($AA53,$C$5),Donnees!$A$2:$A$2107,"&lt;="&amp;MIN(EOMONTH($AA53,0),$C$6))+($D$18="Oui")*SUMIFS(Donnees!$I$2:$I$2107,Donnees!$A$2:$A$2107,"&gt;="&amp;MAX($AA53,$C$5),Donnees!$A$2:$A$2107,"&lt;="&amp;MIN(EOMONTH($AA53,0),$C$6)),NA())</f>
        <v>#N/A</v>
      </c>
    </row>
    <row r="54" spans="2:28" x14ac:dyDescent="0.25">
      <c r="B54">
        <v>43722</v>
      </c>
      <c r="C54">
        <v>8.99</v>
      </c>
      <c r="D54">
        <v>6.3970000000000002</v>
      </c>
      <c r="E54">
        <v>3.45</v>
      </c>
      <c r="F54">
        <v>24</v>
      </c>
      <c r="G54">
        <v>12</v>
      </c>
      <c r="H54">
        <v>0</v>
      </c>
      <c r="I54">
        <v>2</v>
      </c>
      <c r="J54">
        <v>10</v>
      </c>
      <c r="AA54" s="15">
        <v>42948</v>
      </c>
      <c r="AB54" s="14" t="e">
        <f>IF(AND(EOMONTH($AA54,0)&gt;=$C$5,$AA54&lt;=$C$6),($D$11="Oui")*SUMIFS(Donnees!$B$2:$B$2107,Donnees!$A$2:$A$2107,"&gt;="&amp;MAX($AA54,$C$5),Donnees!$A$2:$A$2107,"&lt;="&amp;MIN(EOMONTH($AA54,0),$C$6))+($D$12="Oui")*SUMIFS(Donnees!$C$2:$C$2107,Donnees!$A$2:$A$2107,"&gt;="&amp;MAX($AA54,$C$5),Donnees!$A$2:$A$2107,"&lt;="&amp;MIN(EOMONTH($AA54,0),$C$6))+($D$13="Oui")*SUMIFS(Donnees!$D$2:$D$2107,Donnees!$A$2:$A$2107,"&gt;="&amp;MAX($AA54,$C$5),Donnees!$A$2:$A$2107,"&lt;="&amp;MIN(EOMONTH($AA54,0),$C$6))+($D$14="Oui")*SUMIFS(Donnees!$E$2:$E$2107,Donnees!$A$2:$A$2107,"&gt;="&amp;MAX($AA54,$C$5),Donnees!$A$2:$A$2107,"&lt;="&amp;MIN(EOMONTH($AA54,0),$C$6))+($D$15="Oui")*SUMIFS(Donnees!$F$2:$F$2107,Donnees!$A$2:$A$2107,"&gt;="&amp;MAX($AA54,$C$5),Donnees!$A$2:$A$2107,"&lt;="&amp;MIN(EOMONTH($AA54,0),$C$6))+($D$16="Oui")*SUMIFS(Donnees!$G$2:$G$2107,Donnees!$A$2:$A$2107,"&gt;="&amp;MAX($AA54,$C$5),Donnees!$A$2:$A$2107,"&lt;="&amp;MIN(EOMONTH($AA54,0),$C$6))+($D$17="Oui")*SUMIFS(Donnees!$H$2:$H$2107,Donnees!$A$2:$A$2107,"&gt;="&amp;MAX($AA54,$C$5),Donnees!$A$2:$A$2107,"&lt;="&amp;MIN(EOMONTH($AA54,0),$C$6))+($D$18="Oui")*SUMIFS(Donnees!$I$2:$I$2107,Donnees!$A$2:$A$2107,"&gt;="&amp;MAX($AA54,$C$5),Donnees!$A$2:$A$2107,"&lt;="&amp;MIN(EOMONTH($AA54,0),$C$6)),NA())</f>
        <v>#N/A</v>
      </c>
    </row>
    <row r="55" spans="2:28" x14ac:dyDescent="0.25">
      <c r="B55">
        <v>43723</v>
      </c>
      <c r="C55">
        <v>5.34</v>
      </c>
      <c r="D55">
        <v>6.01</v>
      </c>
      <c r="E55">
        <v>2</v>
      </c>
      <c r="F55">
        <v>25.4</v>
      </c>
      <c r="G55">
        <v>6</v>
      </c>
      <c r="H55">
        <v>0</v>
      </c>
      <c r="I55">
        <v>2</v>
      </c>
      <c r="J55">
        <v>6</v>
      </c>
      <c r="AA55" s="15">
        <v>42979</v>
      </c>
      <c r="AB55" s="14" t="e">
        <f>IF(AND(EOMONTH($AA55,0)&gt;=$C$5,$AA55&lt;=$C$6),($D$11="Oui")*SUMIFS(Donnees!$B$2:$B$2107,Donnees!$A$2:$A$2107,"&gt;="&amp;MAX($AA55,$C$5),Donnees!$A$2:$A$2107,"&lt;="&amp;MIN(EOMONTH($AA55,0),$C$6))+($D$12="Oui")*SUMIFS(Donnees!$C$2:$C$2107,Donnees!$A$2:$A$2107,"&gt;="&amp;MAX($AA55,$C$5),Donnees!$A$2:$A$2107,"&lt;="&amp;MIN(EOMONTH($AA55,0),$C$6))+($D$13="Oui")*SUMIFS(Donnees!$D$2:$D$2107,Donnees!$A$2:$A$2107,"&gt;="&amp;MAX($AA55,$C$5),Donnees!$A$2:$A$2107,"&lt;="&amp;MIN(EOMONTH($AA55,0),$C$6))+($D$14="Oui")*SUMIFS(Donnees!$E$2:$E$2107,Donnees!$A$2:$A$2107,"&gt;="&amp;MAX($AA55,$C$5),Donnees!$A$2:$A$2107,"&lt;="&amp;MIN(EOMONTH($AA55,0),$C$6))+($D$15="Oui")*SUMIFS(Donnees!$F$2:$F$2107,Donnees!$A$2:$A$2107,"&gt;="&amp;MAX($AA55,$C$5),Donnees!$A$2:$A$2107,"&lt;="&amp;MIN(EOMONTH($AA55,0),$C$6))+($D$16="Oui")*SUMIFS(Donnees!$G$2:$G$2107,Donnees!$A$2:$A$2107,"&gt;="&amp;MAX($AA55,$C$5),Donnees!$A$2:$A$2107,"&lt;="&amp;MIN(EOMONTH($AA55,0),$C$6))+($D$17="Oui")*SUMIFS(Donnees!$H$2:$H$2107,Donnees!$A$2:$A$2107,"&gt;="&amp;MAX($AA55,$C$5),Donnees!$A$2:$A$2107,"&lt;="&amp;MIN(EOMONTH($AA55,0),$C$6))+($D$18="Oui")*SUMIFS(Donnees!$I$2:$I$2107,Donnees!$A$2:$A$2107,"&gt;="&amp;MAX($AA55,$C$5),Donnees!$A$2:$A$2107,"&lt;="&amp;MIN(EOMONTH($AA55,0),$C$6)),NA())</f>
        <v>#N/A</v>
      </c>
    </row>
    <row r="56" spans="2:28" x14ac:dyDescent="0.25">
      <c r="B56">
        <v>43724</v>
      </c>
      <c r="C56">
        <v>9.33</v>
      </c>
      <c r="D56">
        <v>2.3159999999999998</v>
      </c>
      <c r="E56">
        <v>3</v>
      </c>
      <c r="F56">
        <v>22</v>
      </c>
      <c r="G56">
        <v>5</v>
      </c>
      <c r="H56">
        <v>1</v>
      </c>
      <c r="I56">
        <v>0</v>
      </c>
      <c r="J56">
        <v>2</v>
      </c>
      <c r="AA56" s="15">
        <v>43009</v>
      </c>
      <c r="AB56" s="14" t="e">
        <f>IF(AND(EOMONTH($AA56,0)&gt;=$C$5,$AA56&lt;=$C$6),($D$11="Oui")*SUMIFS(Donnees!$B$2:$B$2107,Donnees!$A$2:$A$2107,"&gt;="&amp;MAX($AA56,$C$5),Donnees!$A$2:$A$2107,"&lt;="&amp;MIN(EOMONTH($AA56,0),$C$6))+($D$12="Oui")*SUMIFS(Donnees!$C$2:$C$2107,Donnees!$A$2:$A$2107,"&gt;="&amp;MAX($AA56,$C$5),Donnees!$A$2:$A$2107,"&lt;="&amp;MIN(EOMONTH($AA56,0),$C$6))+($D$13="Oui")*SUMIFS(Donnees!$D$2:$D$2107,Donnees!$A$2:$A$2107,"&gt;="&amp;MAX($AA56,$C$5),Donnees!$A$2:$A$2107,"&lt;="&amp;MIN(EOMONTH($AA56,0),$C$6))+($D$14="Oui")*SUMIFS(Donnees!$E$2:$E$2107,Donnees!$A$2:$A$2107,"&gt;="&amp;MAX($AA56,$C$5),Donnees!$A$2:$A$2107,"&lt;="&amp;MIN(EOMONTH($AA56,0),$C$6))+($D$15="Oui")*SUMIFS(Donnees!$F$2:$F$2107,Donnees!$A$2:$A$2107,"&gt;="&amp;MAX($AA56,$C$5),Donnees!$A$2:$A$2107,"&lt;="&amp;MIN(EOMONTH($AA56,0),$C$6))+($D$16="Oui")*SUMIFS(Donnees!$G$2:$G$2107,Donnees!$A$2:$A$2107,"&gt;="&amp;MAX($AA56,$C$5),Donnees!$A$2:$A$2107,"&lt;="&amp;MIN(EOMONTH($AA56,0),$C$6))+($D$17="Oui")*SUMIFS(Donnees!$H$2:$H$2107,Donnees!$A$2:$A$2107,"&gt;="&amp;MAX($AA56,$C$5),Donnees!$A$2:$A$2107,"&lt;="&amp;MIN(EOMONTH($AA56,0),$C$6))+($D$18="Oui")*SUMIFS(Donnees!$I$2:$I$2107,Donnees!$A$2:$A$2107,"&gt;="&amp;MAX($AA56,$C$5),Donnees!$A$2:$A$2107,"&lt;="&amp;MIN(EOMONTH($AA56,0),$C$6)),NA())</f>
        <v>#N/A</v>
      </c>
    </row>
    <row r="57" spans="2:28" x14ac:dyDescent="0.25">
      <c r="B57">
        <v>43725</v>
      </c>
      <c r="C57">
        <v>4.5</v>
      </c>
      <c r="D57">
        <v>3.0070000000000001</v>
      </c>
      <c r="E57">
        <v>6.5</v>
      </c>
      <c r="F57">
        <v>19.2</v>
      </c>
      <c r="G57">
        <v>8.1999999999999993</v>
      </c>
      <c r="H57">
        <v>0</v>
      </c>
      <c r="I57">
        <v>6</v>
      </c>
      <c r="J57">
        <v>2</v>
      </c>
      <c r="AA57" s="15">
        <v>43040</v>
      </c>
      <c r="AB57" s="14" t="e">
        <f>IF(AND(EOMONTH($AA57,0)&gt;=$C$5,$AA57&lt;=$C$6),($D$11="Oui")*SUMIFS(Donnees!$B$2:$B$2107,Donnees!$A$2:$A$2107,"&gt;="&amp;MAX($AA57,$C$5),Donnees!$A$2:$A$2107,"&lt;="&amp;MIN(EOMONTH($AA57,0),$C$6))+($D$12="Oui")*SUMIFS(Donnees!$C$2:$C$2107,Donnees!$A$2:$A$2107,"&gt;="&amp;MAX($AA57,$C$5),Donnees!$A$2:$A$2107,"&lt;="&amp;MIN(EOMONTH($AA57,0),$C$6))+($D$13="Oui")*SUMIFS(Donnees!$D$2:$D$2107,Donnees!$A$2:$A$2107,"&gt;="&amp;MAX($AA57,$C$5),Donnees!$A$2:$A$2107,"&lt;="&amp;MIN(EOMONTH($AA57,0),$C$6))+($D$14="Oui")*SUMIFS(Donnees!$E$2:$E$2107,Donnees!$A$2:$A$2107,"&gt;="&amp;MAX($AA57,$C$5),Donnees!$A$2:$A$2107,"&lt;="&amp;MIN(EOMONTH($AA57,0),$C$6))+($D$15="Oui")*SUMIFS(Donnees!$F$2:$F$2107,Donnees!$A$2:$A$2107,"&gt;="&amp;MAX($AA57,$C$5),Donnees!$A$2:$A$2107,"&lt;="&amp;MIN(EOMONTH($AA57,0),$C$6))+($D$16="Oui")*SUMIFS(Donnees!$G$2:$G$2107,Donnees!$A$2:$A$2107,"&gt;="&amp;MAX($AA57,$C$5),Donnees!$A$2:$A$2107,"&lt;="&amp;MIN(EOMONTH($AA57,0),$C$6))+($D$17="Oui")*SUMIFS(Donnees!$H$2:$H$2107,Donnees!$A$2:$A$2107,"&gt;="&amp;MAX($AA57,$C$5),Donnees!$A$2:$A$2107,"&lt;="&amp;MIN(EOMONTH($AA57,0),$C$6))+($D$18="Oui")*SUMIFS(Donnees!$I$2:$I$2107,Donnees!$A$2:$A$2107,"&gt;="&amp;MAX($AA57,$C$5),Donnees!$A$2:$A$2107,"&lt;="&amp;MIN(EOMONTH($AA57,0),$C$6)),NA())</f>
        <v>#N/A</v>
      </c>
    </row>
    <row r="58" spans="2:28" x14ac:dyDescent="0.25">
      <c r="B58">
        <v>43726</v>
      </c>
      <c r="C58">
        <v>6.33</v>
      </c>
      <c r="D58">
        <v>4.33</v>
      </c>
      <c r="E58">
        <v>7</v>
      </c>
      <c r="F58">
        <v>22</v>
      </c>
      <c r="G58">
        <v>4</v>
      </c>
      <c r="H58">
        <v>0</v>
      </c>
      <c r="I58">
        <v>2</v>
      </c>
      <c r="J58">
        <v>2</v>
      </c>
      <c r="AA58" s="15">
        <v>43070</v>
      </c>
      <c r="AB58" s="14" t="e">
        <f>IF(AND(EOMONTH($AA58,0)&gt;=$C$5,$AA58&lt;=$C$6),($D$11="Oui")*SUMIFS(Donnees!$B$2:$B$2107,Donnees!$A$2:$A$2107,"&gt;="&amp;MAX($AA58,$C$5),Donnees!$A$2:$A$2107,"&lt;="&amp;MIN(EOMONTH($AA58,0),$C$6))+($D$12="Oui")*SUMIFS(Donnees!$C$2:$C$2107,Donnees!$A$2:$A$2107,"&gt;="&amp;MAX($AA58,$C$5),Donnees!$A$2:$A$2107,"&lt;="&amp;MIN(EOMONTH($AA58,0),$C$6))+($D$13="Oui")*SUMIFS(Donnees!$D$2:$D$2107,Donnees!$A$2:$A$2107,"&gt;="&amp;MAX($AA58,$C$5),Donnees!$A$2:$A$2107,"&lt;="&amp;MIN(EOMONTH($AA58,0),$C$6))+($D$14="Oui")*SUMIFS(Donnees!$E$2:$E$2107,Donnees!$A$2:$A$2107,"&gt;="&amp;MAX($AA58,$C$5),Donnees!$A$2:$A$2107,"&lt;="&amp;MIN(EOMONTH($AA58,0),$C$6))+($D$15="Oui")*SUMIFS(Donnees!$F$2:$F$2107,Donnees!$A$2:$A$2107,"&gt;="&amp;MAX($AA58,$C$5),Donnees!$A$2:$A$2107,"&lt;="&amp;MIN(EOMONTH($AA58,0),$C$6))+($D$16="Oui")*SUMIFS(Donnees!$G$2:$G$2107,Donnees!$A$2:$A$2107,"&gt;="&amp;MAX($AA58,$C$5),Donnees!$A$2:$A$2107,"&lt;="&amp;MIN(EOMONTH($AA58,0),$C$6))+($D$17="Oui")*SUMIFS(Donnees!$H$2:$H$2107,Donnees!$A$2:$A$2107,"&gt;="&amp;MAX($AA58,$C$5),Donnees!$A$2:$A$2107,"&lt;="&amp;MIN(EOMONTH($AA58,0),$C$6))+($D$18="Oui")*SUMIFS(Donnees!$I$2:$I$2107,Donnees!$A$2:$A$2107,"&gt;="&amp;MAX($AA58,$C$5),Donnees!$A$2:$A$2107,"&lt;="&amp;MIN(EOMONTH($AA58,0),$C$6)),NA())</f>
        <v>#N/A</v>
      </c>
    </row>
    <row r="59" spans="2:28" x14ac:dyDescent="0.25">
      <c r="B59">
        <v>43727</v>
      </c>
      <c r="C59">
        <v>7.33</v>
      </c>
      <c r="D59">
        <v>3.34</v>
      </c>
      <c r="E59">
        <v>3</v>
      </c>
      <c r="F59">
        <v>33</v>
      </c>
      <c r="G59">
        <v>5</v>
      </c>
      <c r="H59">
        <v>2</v>
      </c>
      <c r="I59">
        <v>3</v>
      </c>
      <c r="J59">
        <v>4</v>
      </c>
      <c r="AA59" s="15">
        <v>43101</v>
      </c>
      <c r="AB59" s="14" t="e">
        <f>IF(AND(EOMONTH($AA59,0)&gt;=$C$5,$AA59&lt;=$C$6),($D$11="Oui")*SUMIFS(Donnees!$B$2:$B$2107,Donnees!$A$2:$A$2107,"&gt;="&amp;MAX($AA59,$C$5),Donnees!$A$2:$A$2107,"&lt;="&amp;MIN(EOMONTH($AA59,0),$C$6))+($D$12="Oui")*SUMIFS(Donnees!$C$2:$C$2107,Donnees!$A$2:$A$2107,"&gt;="&amp;MAX($AA59,$C$5),Donnees!$A$2:$A$2107,"&lt;="&amp;MIN(EOMONTH($AA59,0),$C$6))+($D$13="Oui")*SUMIFS(Donnees!$D$2:$D$2107,Donnees!$A$2:$A$2107,"&gt;="&amp;MAX($AA59,$C$5),Donnees!$A$2:$A$2107,"&lt;="&amp;MIN(EOMONTH($AA59,0),$C$6))+($D$14="Oui")*SUMIFS(Donnees!$E$2:$E$2107,Donnees!$A$2:$A$2107,"&gt;="&amp;MAX($AA59,$C$5),Donnees!$A$2:$A$2107,"&lt;="&amp;MIN(EOMONTH($AA59,0),$C$6))+($D$15="Oui")*SUMIFS(Donnees!$F$2:$F$2107,Donnees!$A$2:$A$2107,"&gt;="&amp;MAX($AA59,$C$5),Donnees!$A$2:$A$2107,"&lt;="&amp;MIN(EOMONTH($AA59,0),$C$6))+($D$16="Oui")*SUMIFS(Donnees!$G$2:$G$2107,Donnees!$A$2:$A$2107,"&gt;="&amp;MAX($AA59,$C$5),Donnees!$A$2:$A$2107,"&lt;="&amp;MIN(EOMONTH($AA59,0),$C$6))+($D$17="Oui")*SUMIFS(Donnees!$H$2:$H$2107,Donnees!$A$2:$A$2107,"&gt;="&amp;MAX($AA59,$C$5),Donnees!$A$2:$A$2107,"&lt;="&amp;MIN(EOMONTH($AA59,0),$C$6))+($D$18="Oui")*SUMIFS(Donnees!$I$2:$I$2107,Donnees!$A$2:$A$2107,"&gt;="&amp;MAX($AA59,$C$5),Donnees!$A$2:$A$2107,"&lt;="&amp;MIN(EOMONTH($AA59,0),$C$6)),NA())</f>
        <v>#N/A</v>
      </c>
    </row>
    <row r="60" spans="2:28" x14ac:dyDescent="0.25">
      <c r="B60">
        <v>43728</v>
      </c>
      <c r="C60">
        <v>5.34</v>
      </c>
      <c r="D60">
        <v>3.383</v>
      </c>
      <c r="E60">
        <v>2</v>
      </c>
      <c r="F60">
        <v>51.3</v>
      </c>
      <c r="G60">
        <v>3</v>
      </c>
      <c r="H60">
        <v>0</v>
      </c>
      <c r="I60">
        <v>1</v>
      </c>
      <c r="J60">
        <v>3</v>
      </c>
      <c r="AA60" s="15">
        <v>43132</v>
      </c>
      <c r="AB60" s="14" t="e">
        <f>IF(AND(EOMONTH($AA60,0)&gt;=$C$5,$AA60&lt;=$C$6),($D$11="Oui")*SUMIFS(Donnees!$B$2:$B$2107,Donnees!$A$2:$A$2107,"&gt;="&amp;MAX($AA60,$C$5),Donnees!$A$2:$A$2107,"&lt;="&amp;MIN(EOMONTH($AA60,0),$C$6))+($D$12="Oui")*SUMIFS(Donnees!$C$2:$C$2107,Donnees!$A$2:$A$2107,"&gt;="&amp;MAX($AA60,$C$5),Donnees!$A$2:$A$2107,"&lt;="&amp;MIN(EOMONTH($AA60,0),$C$6))+($D$13="Oui")*SUMIFS(Donnees!$D$2:$D$2107,Donnees!$A$2:$A$2107,"&gt;="&amp;MAX($AA60,$C$5),Donnees!$A$2:$A$2107,"&lt;="&amp;MIN(EOMONTH($AA60,0),$C$6))+($D$14="Oui")*SUMIFS(Donnees!$E$2:$E$2107,Donnees!$A$2:$A$2107,"&gt;="&amp;MAX($AA60,$C$5),Donnees!$A$2:$A$2107,"&lt;="&amp;MIN(EOMONTH($AA60,0),$C$6))+($D$15="Oui")*SUMIFS(Donnees!$F$2:$F$2107,Donnees!$A$2:$A$2107,"&gt;="&amp;MAX($AA60,$C$5),Donnees!$A$2:$A$2107,"&lt;="&amp;MIN(EOMONTH($AA60,0),$C$6))+($D$16="Oui")*SUMIFS(Donnees!$G$2:$G$2107,Donnees!$A$2:$A$2107,"&gt;="&amp;MAX($AA60,$C$5),Donnees!$A$2:$A$2107,"&lt;="&amp;MIN(EOMONTH($AA60,0),$C$6))+($D$17="Oui")*SUMIFS(Donnees!$H$2:$H$2107,Donnees!$A$2:$A$2107,"&gt;="&amp;MAX($AA60,$C$5),Donnees!$A$2:$A$2107,"&lt;="&amp;MIN(EOMONTH($AA60,0),$C$6))+($D$18="Oui")*SUMIFS(Donnees!$I$2:$I$2107,Donnees!$A$2:$A$2107,"&gt;="&amp;MAX($AA60,$C$5),Donnees!$A$2:$A$2107,"&lt;="&amp;MIN(EOMONTH($AA60,0),$C$6)),NA())</f>
        <v>#N/A</v>
      </c>
    </row>
    <row r="61" spans="2:28" x14ac:dyDescent="0.25">
      <c r="B61">
        <v>43729</v>
      </c>
      <c r="C61">
        <v>10.68</v>
      </c>
      <c r="D61">
        <v>5.68</v>
      </c>
      <c r="E61">
        <v>1</v>
      </c>
      <c r="F61">
        <v>44.25</v>
      </c>
      <c r="G61">
        <v>3</v>
      </c>
      <c r="H61">
        <v>0</v>
      </c>
      <c r="I61">
        <v>6</v>
      </c>
      <c r="J61">
        <v>4</v>
      </c>
      <c r="AA61" s="15">
        <v>43160</v>
      </c>
      <c r="AB61" s="14" t="e">
        <f>IF(AND(EOMONTH($AA61,0)&gt;=$C$5,$AA61&lt;=$C$6),($D$11="Oui")*SUMIFS(Donnees!$B$2:$B$2107,Donnees!$A$2:$A$2107,"&gt;="&amp;MAX($AA61,$C$5),Donnees!$A$2:$A$2107,"&lt;="&amp;MIN(EOMONTH($AA61,0),$C$6))+($D$12="Oui")*SUMIFS(Donnees!$C$2:$C$2107,Donnees!$A$2:$A$2107,"&gt;="&amp;MAX($AA61,$C$5),Donnees!$A$2:$A$2107,"&lt;="&amp;MIN(EOMONTH($AA61,0),$C$6))+($D$13="Oui")*SUMIFS(Donnees!$D$2:$D$2107,Donnees!$A$2:$A$2107,"&gt;="&amp;MAX($AA61,$C$5),Donnees!$A$2:$A$2107,"&lt;="&amp;MIN(EOMONTH($AA61,0),$C$6))+($D$14="Oui")*SUMIFS(Donnees!$E$2:$E$2107,Donnees!$A$2:$A$2107,"&gt;="&amp;MAX($AA61,$C$5),Donnees!$A$2:$A$2107,"&lt;="&amp;MIN(EOMONTH($AA61,0),$C$6))+($D$15="Oui")*SUMIFS(Donnees!$F$2:$F$2107,Donnees!$A$2:$A$2107,"&gt;="&amp;MAX($AA61,$C$5),Donnees!$A$2:$A$2107,"&lt;="&amp;MIN(EOMONTH($AA61,0),$C$6))+($D$16="Oui")*SUMIFS(Donnees!$G$2:$G$2107,Donnees!$A$2:$A$2107,"&gt;="&amp;MAX($AA61,$C$5),Donnees!$A$2:$A$2107,"&lt;="&amp;MIN(EOMONTH($AA61,0),$C$6))+($D$17="Oui")*SUMIFS(Donnees!$H$2:$H$2107,Donnees!$A$2:$A$2107,"&gt;="&amp;MAX($AA61,$C$5),Donnees!$A$2:$A$2107,"&lt;="&amp;MIN(EOMONTH($AA61,0),$C$6))+($D$18="Oui")*SUMIFS(Donnees!$I$2:$I$2107,Donnees!$A$2:$A$2107,"&gt;="&amp;MAX($AA61,$C$5),Donnees!$A$2:$A$2107,"&lt;="&amp;MIN(EOMONTH($AA61,0),$C$6)),NA())</f>
        <v>#N/A</v>
      </c>
    </row>
    <row r="62" spans="2:28" x14ac:dyDescent="0.25">
      <c r="B62">
        <v>43730</v>
      </c>
      <c r="C62">
        <v>3.33</v>
      </c>
      <c r="D62">
        <v>3.34</v>
      </c>
      <c r="E62">
        <v>1.9</v>
      </c>
      <c r="F62">
        <v>56.5</v>
      </c>
      <c r="G62">
        <v>3</v>
      </c>
      <c r="H62">
        <v>0</v>
      </c>
      <c r="I62">
        <v>8</v>
      </c>
      <c r="J62">
        <v>4</v>
      </c>
      <c r="AA62" s="15">
        <v>43191</v>
      </c>
      <c r="AB62" s="14" t="e">
        <f>IF(AND(EOMONTH($AA62,0)&gt;=$C$5,$AA62&lt;=$C$6),($D$11="Oui")*SUMIFS(Donnees!$B$2:$B$2107,Donnees!$A$2:$A$2107,"&gt;="&amp;MAX($AA62,$C$5),Donnees!$A$2:$A$2107,"&lt;="&amp;MIN(EOMONTH($AA62,0),$C$6))+($D$12="Oui")*SUMIFS(Donnees!$C$2:$C$2107,Donnees!$A$2:$A$2107,"&gt;="&amp;MAX($AA62,$C$5),Donnees!$A$2:$A$2107,"&lt;="&amp;MIN(EOMONTH($AA62,0),$C$6))+($D$13="Oui")*SUMIFS(Donnees!$D$2:$D$2107,Donnees!$A$2:$A$2107,"&gt;="&amp;MAX($AA62,$C$5),Donnees!$A$2:$A$2107,"&lt;="&amp;MIN(EOMONTH($AA62,0),$C$6))+($D$14="Oui")*SUMIFS(Donnees!$E$2:$E$2107,Donnees!$A$2:$A$2107,"&gt;="&amp;MAX($AA62,$C$5),Donnees!$A$2:$A$2107,"&lt;="&amp;MIN(EOMONTH($AA62,0),$C$6))+($D$15="Oui")*SUMIFS(Donnees!$F$2:$F$2107,Donnees!$A$2:$A$2107,"&gt;="&amp;MAX($AA62,$C$5),Donnees!$A$2:$A$2107,"&lt;="&amp;MIN(EOMONTH($AA62,0),$C$6))+($D$16="Oui")*SUMIFS(Donnees!$G$2:$G$2107,Donnees!$A$2:$A$2107,"&gt;="&amp;MAX($AA62,$C$5),Donnees!$A$2:$A$2107,"&lt;="&amp;MIN(EOMONTH($AA62,0),$C$6))+($D$17="Oui")*SUMIFS(Donnees!$H$2:$H$2107,Donnees!$A$2:$A$2107,"&gt;="&amp;MAX($AA62,$C$5),Donnees!$A$2:$A$2107,"&lt;="&amp;MIN(EOMONTH($AA62,0),$C$6))+($D$18="Oui")*SUMIFS(Donnees!$I$2:$I$2107,Donnees!$A$2:$A$2107,"&gt;="&amp;MAX($AA62,$C$5),Donnees!$A$2:$A$2107,"&lt;="&amp;MIN(EOMONTH($AA62,0),$C$6)),NA())</f>
        <v>#N/A</v>
      </c>
    </row>
    <row r="63" spans="2:28" x14ac:dyDescent="0.25">
      <c r="B63">
        <v>43731</v>
      </c>
      <c r="C63">
        <v>5.34</v>
      </c>
      <c r="D63">
        <v>4.5490000000000004</v>
      </c>
      <c r="E63">
        <v>3.3</v>
      </c>
      <c r="F63">
        <v>55</v>
      </c>
      <c r="G63">
        <v>6</v>
      </c>
      <c r="H63">
        <v>0</v>
      </c>
      <c r="I63">
        <v>1</v>
      </c>
      <c r="J63">
        <v>4</v>
      </c>
      <c r="AA63" s="15">
        <v>43221</v>
      </c>
      <c r="AB63" s="14" t="e">
        <f>IF(AND(EOMONTH($AA63,0)&gt;=$C$5,$AA63&lt;=$C$6),($D$11="Oui")*SUMIFS(Donnees!$B$2:$B$2107,Donnees!$A$2:$A$2107,"&gt;="&amp;MAX($AA63,$C$5),Donnees!$A$2:$A$2107,"&lt;="&amp;MIN(EOMONTH($AA63,0),$C$6))+($D$12="Oui")*SUMIFS(Donnees!$C$2:$C$2107,Donnees!$A$2:$A$2107,"&gt;="&amp;MAX($AA63,$C$5),Donnees!$A$2:$A$2107,"&lt;="&amp;MIN(EOMONTH($AA63,0),$C$6))+($D$13="Oui")*SUMIFS(Donnees!$D$2:$D$2107,Donnees!$A$2:$A$2107,"&gt;="&amp;MAX($AA63,$C$5),Donnees!$A$2:$A$2107,"&lt;="&amp;MIN(EOMONTH($AA63,0),$C$6))+($D$14="Oui")*SUMIFS(Donnees!$E$2:$E$2107,Donnees!$A$2:$A$2107,"&gt;="&amp;MAX($AA63,$C$5),Donnees!$A$2:$A$2107,"&lt;="&amp;MIN(EOMONTH($AA63,0),$C$6))+($D$15="Oui")*SUMIFS(Donnees!$F$2:$F$2107,Donnees!$A$2:$A$2107,"&gt;="&amp;MAX($AA63,$C$5),Donnees!$A$2:$A$2107,"&lt;="&amp;MIN(EOMONTH($AA63,0),$C$6))+($D$16="Oui")*SUMIFS(Donnees!$G$2:$G$2107,Donnees!$A$2:$A$2107,"&gt;="&amp;MAX($AA63,$C$5),Donnees!$A$2:$A$2107,"&lt;="&amp;MIN(EOMONTH($AA63,0),$C$6))+($D$17="Oui")*SUMIFS(Donnees!$H$2:$H$2107,Donnees!$A$2:$A$2107,"&gt;="&amp;MAX($AA63,$C$5),Donnees!$A$2:$A$2107,"&lt;="&amp;MIN(EOMONTH($AA63,0),$C$6))+($D$18="Oui")*SUMIFS(Donnees!$I$2:$I$2107,Donnees!$A$2:$A$2107,"&gt;="&amp;MAX($AA63,$C$5),Donnees!$A$2:$A$2107,"&lt;="&amp;MIN(EOMONTH($AA63,0),$C$6)),NA())</f>
        <v>#N/A</v>
      </c>
    </row>
    <row r="64" spans="2:28" x14ac:dyDescent="0.25">
      <c r="B64">
        <v>43732</v>
      </c>
      <c r="C64">
        <v>2</v>
      </c>
      <c r="D64">
        <v>1.34</v>
      </c>
      <c r="E64">
        <v>6</v>
      </c>
      <c r="F64">
        <v>61.3</v>
      </c>
      <c r="G64">
        <v>12</v>
      </c>
      <c r="H64">
        <v>0</v>
      </c>
      <c r="I64">
        <v>1</v>
      </c>
      <c r="J64">
        <v>6</v>
      </c>
      <c r="AA64" s="15">
        <v>43252</v>
      </c>
      <c r="AB64" s="14" t="e">
        <f>IF(AND(EOMONTH($AA64,0)&gt;=$C$5,$AA64&lt;=$C$6),($D$11="Oui")*SUMIFS(Donnees!$B$2:$B$2107,Donnees!$A$2:$A$2107,"&gt;="&amp;MAX($AA64,$C$5),Donnees!$A$2:$A$2107,"&lt;="&amp;MIN(EOMONTH($AA64,0),$C$6))+($D$12="Oui")*SUMIFS(Donnees!$C$2:$C$2107,Donnees!$A$2:$A$2107,"&gt;="&amp;MAX($AA64,$C$5),Donnees!$A$2:$A$2107,"&lt;="&amp;MIN(EOMONTH($AA64,0),$C$6))+($D$13="Oui")*SUMIFS(Donnees!$D$2:$D$2107,Donnees!$A$2:$A$2107,"&gt;="&amp;MAX($AA64,$C$5),Donnees!$A$2:$A$2107,"&lt;="&amp;MIN(EOMONTH($AA64,0),$C$6))+($D$14="Oui")*SUMIFS(Donnees!$E$2:$E$2107,Donnees!$A$2:$A$2107,"&gt;="&amp;MAX($AA64,$C$5),Donnees!$A$2:$A$2107,"&lt;="&amp;MIN(EOMONTH($AA64,0),$C$6))+($D$15="Oui")*SUMIFS(Donnees!$F$2:$F$2107,Donnees!$A$2:$A$2107,"&gt;="&amp;MAX($AA64,$C$5),Donnees!$A$2:$A$2107,"&lt;="&amp;MIN(EOMONTH($AA64,0),$C$6))+($D$16="Oui")*SUMIFS(Donnees!$G$2:$G$2107,Donnees!$A$2:$A$2107,"&gt;="&amp;MAX($AA64,$C$5),Donnees!$A$2:$A$2107,"&lt;="&amp;MIN(EOMONTH($AA64,0),$C$6))+($D$17="Oui")*SUMIFS(Donnees!$H$2:$H$2107,Donnees!$A$2:$A$2107,"&gt;="&amp;MAX($AA64,$C$5),Donnees!$A$2:$A$2107,"&lt;="&amp;MIN(EOMONTH($AA64,0),$C$6))+($D$18="Oui")*SUMIFS(Donnees!$I$2:$I$2107,Donnees!$A$2:$A$2107,"&gt;="&amp;MAX($AA64,$C$5),Donnees!$A$2:$A$2107,"&lt;="&amp;MIN(EOMONTH($AA64,0),$C$6)),NA())</f>
        <v>#N/A</v>
      </c>
    </row>
    <row r="65" spans="2:28" x14ac:dyDescent="0.25">
      <c r="B65">
        <v>43733</v>
      </c>
      <c r="C65">
        <v>6</v>
      </c>
      <c r="D65">
        <v>3.67</v>
      </c>
      <c r="E65">
        <v>4.2</v>
      </c>
      <c r="F65">
        <v>32.5</v>
      </c>
      <c r="G65">
        <v>14</v>
      </c>
      <c r="H65">
        <v>1</v>
      </c>
      <c r="I65">
        <v>1.4166666670000001</v>
      </c>
      <c r="J65">
        <v>4</v>
      </c>
      <c r="AA65" s="15">
        <v>43282</v>
      </c>
      <c r="AB65" s="14" t="e">
        <f>IF(AND(EOMONTH($AA65,0)&gt;=$C$5,$AA65&lt;=$C$6),($D$11="Oui")*SUMIFS(Donnees!$B$2:$B$2107,Donnees!$A$2:$A$2107,"&gt;="&amp;MAX($AA65,$C$5),Donnees!$A$2:$A$2107,"&lt;="&amp;MIN(EOMONTH($AA65,0),$C$6))+($D$12="Oui")*SUMIFS(Donnees!$C$2:$C$2107,Donnees!$A$2:$A$2107,"&gt;="&amp;MAX($AA65,$C$5),Donnees!$A$2:$A$2107,"&lt;="&amp;MIN(EOMONTH($AA65,0),$C$6))+($D$13="Oui")*SUMIFS(Donnees!$D$2:$D$2107,Donnees!$A$2:$A$2107,"&gt;="&amp;MAX($AA65,$C$5),Donnees!$A$2:$A$2107,"&lt;="&amp;MIN(EOMONTH($AA65,0),$C$6))+($D$14="Oui")*SUMIFS(Donnees!$E$2:$E$2107,Donnees!$A$2:$A$2107,"&gt;="&amp;MAX($AA65,$C$5),Donnees!$A$2:$A$2107,"&lt;="&amp;MIN(EOMONTH($AA65,0),$C$6))+($D$15="Oui")*SUMIFS(Donnees!$F$2:$F$2107,Donnees!$A$2:$A$2107,"&gt;="&amp;MAX($AA65,$C$5),Donnees!$A$2:$A$2107,"&lt;="&amp;MIN(EOMONTH($AA65,0),$C$6))+($D$16="Oui")*SUMIFS(Donnees!$G$2:$G$2107,Donnees!$A$2:$A$2107,"&gt;="&amp;MAX($AA65,$C$5),Donnees!$A$2:$A$2107,"&lt;="&amp;MIN(EOMONTH($AA65,0),$C$6))+($D$17="Oui")*SUMIFS(Donnees!$H$2:$H$2107,Donnees!$A$2:$A$2107,"&gt;="&amp;MAX($AA65,$C$5),Donnees!$A$2:$A$2107,"&lt;="&amp;MIN(EOMONTH($AA65,0),$C$6))+($D$18="Oui")*SUMIFS(Donnees!$I$2:$I$2107,Donnees!$A$2:$A$2107,"&gt;="&amp;MAX($AA65,$C$5),Donnees!$A$2:$A$2107,"&lt;="&amp;MIN(EOMONTH($AA65,0),$C$6)),NA())</f>
        <v>#N/A</v>
      </c>
    </row>
    <row r="66" spans="2:28" x14ac:dyDescent="0.25">
      <c r="B66">
        <v>43734</v>
      </c>
      <c r="C66">
        <v>5.5</v>
      </c>
      <c r="D66">
        <v>3.0329999999999999</v>
      </c>
      <c r="E66">
        <v>2</v>
      </c>
      <c r="F66">
        <v>31</v>
      </c>
      <c r="G66">
        <v>13</v>
      </c>
      <c r="H66">
        <v>0</v>
      </c>
      <c r="I66">
        <v>31</v>
      </c>
      <c r="J66">
        <v>0</v>
      </c>
      <c r="AA66" s="15">
        <v>43313</v>
      </c>
      <c r="AB66" s="14" t="e">
        <f>IF(AND(EOMONTH($AA66,0)&gt;=$C$5,$AA66&lt;=$C$6),($D$11="Oui")*SUMIFS(Donnees!$B$2:$B$2107,Donnees!$A$2:$A$2107,"&gt;="&amp;MAX($AA66,$C$5),Donnees!$A$2:$A$2107,"&lt;="&amp;MIN(EOMONTH($AA66,0),$C$6))+($D$12="Oui")*SUMIFS(Donnees!$C$2:$C$2107,Donnees!$A$2:$A$2107,"&gt;="&amp;MAX($AA66,$C$5),Donnees!$A$2:$A$2107,"&lt;="&amp;MIN(EOMONTH($AA66,0),$C$6))+($D$13="Oui")*SUMIFS(Donnees!$D$2:$D$2107,Donnees!$A$2:$A$2107,"&gt;="&amp;MAX($AA66,$C$5),Donnees!$A$2:$A$2107,"&lt;="&amp;MIN(EOMONTH($AA66,0),$C$6))+($D$14="Oui")*SUMIFS(Donnees!$E$2:$E$2107,Donnees!$A$2:$A$2107,"&gt;="&amp;MAX($AA66,$C$5),Donnees!$A$2:$A$2107,"&lt;="&amp;MIN(EOMONTH($AA66,0),$C$6))+($D$15="Oui")*SUMIFS(Donnees!$F$2:$F$2107,Donnees!$A$2:$A$2107,"&gt;="&amp;MAX($AA66,$C$5),Donnees!$A$2:$A$2107,"&lt;="&amp;MIN(EOMONTH($AA66,0),$C$6))+($D$16="Oui")*SUMIFS(Donnees!$G$2:$G$2107,Donnees!$A$2:$A$2107,"&gt;="&amp;MAX($AA66,$C$5),Donnees!$A$2:$A$2107,"&lt;="&amp;MIN(EOMONTH($AA66,0),$C$6))+($D$17="Oui")*SUMIFS(Donnees!$H$2:$H$2107,Donnees!$A$2:$A$2107,"&gt;="&amp;MAX($AA66,$C$5),Donnees!$A$2:$A$2107,"&lt;="&amp;MIN(EOMONTH($AA66,0),$C$6))+($D$18="Oui")*SUMIFS(Donnees!$I$2:$I$2107,Donnees!$A$2:$A$2107,"&gt;="&amp;MAX($AA66,$C$5),Donnees!$A$2:$A$2107,"&lt;="&amp;MIN(EOMONTH($AA66,0),$C$6)),NA())</f>
        <v>#N/A</v>
      </c>
    </row>
    <row r="67" spans="2:28" x14ac:dyDescent="0.25">
      <c r="B67">
        <v>43735</v>
      </c>
      <c r="C67">
        <v>4.66</v>
      </c>
      <c r="D67">
        <v>4.359</v>
      </c>
      <c r="E67">
        <v>4</v>
      </c>
      <c r="F67">
        <v>41.1</v>
      </c>
      <c r="G67">
        <v>4</v>
      </c>
      <c r="H67">
        <v>0</v>
      </c>
      <c r="I67">
        <v>2</v>
      </c>
      <c r="J67">
        <v>4</v>
      </c>
      <c r="AA67" s="15">
        <v>43344</v>
      </c>
      <c r="AB67" s="14" t="e">
        <f>IF(AND(EOMONTH($AA67,0)&gt;=$C$5,$AA67&lt;=$C$6),($D$11="Oui")*SUMIFS(Donnees!$B$2:$B$2107,Donnees!$A$2:$A$2107,"&gt;="&amp;MAX($AA67,$C$5),Donnees!$A$2:$A$2107,"&lt;="&amp;MIN(EOMONTH($AA67,0),$C$6))+($D$12="Oui")*SUMIFS(Donnees!$C$2:$C$2107,Donnees!$A$2:$A$2107,"&gt;="&amp;MAX($AA67,$C$5),Donnees!$A$2:$A$2107,"&lt;="&amp;MIN(EOMONTH($AA67,0),$C$6))+($D$13="Oui")*SUMIFS(Donnees!$D$2:$D$2107,Donnees!$A$2:$A$2107,"&gt;="&amp;MAX($AA67,$C$5),Donnees!$A$2:$A$2107,"&lt;="&amp;MIN(EOMONTH($AA67,0),$C$6))+($D$14="Oui")*SUMIFS(Donnees!$E$2:$E$2107,Donnees!$A$2:$A$2107,"&gt;="&amp;MAX($AA67,$C$5),Donnees!$A$2:$A$2107,"&lt;="&amp;MIN(EOMONTH($AA67,0),$C$6))+($D$15="Oui")*SUMIFS(Donnees!$F$2:$F$2107,Donnees!$A$2:$A$2107,"&gt;="&amp;MAX($AA67,$C$5),Donnees!$A$2:$A$2107,"&lt;="&amp;MIN(EOMONTH($AA67,0),$C$6))+($D$16="Oui")*SUMIFS(Donnees!$G$2:$G$2107,Donnees!$A$2:$A$2107,"&gt;="&amp;MAX($AA67,$C$5),Donnees!$A$2:$A$2107,"&lt;="&amp;MIN(EOMONTH($AA67,0),$C$6))+($D$17="Oui")*SUMIFS(Donnees!$H$2:$H$2107,Donnees!$A$2:$A$2107,"&gt;="&amp;MAX($AA67,$C$5),Donnees!$A$2:$A$2107,"&lt;="&amp;MIN(EOMONTH($AA67,0),$C$6))+($D$18="Oui")*SUMIFS(Donnees!$I$2:$I$2107,Donnees!$A$2:$A$2107,"&gt;="&amp;MAX($AA67,$C$5),Donnees!$A$2:$A$2107,"&lt;="&amp;MIN(EOMONTH($AA67,0),$C$6)),NA())</f>
        <v>#N/A</v>
      </c>
    </row>
    <row r="68" spans="2:28" x14ac:dyDescent="0.25">
      <c r="B68">
        <v>43736</v>
      </c>
      <c r="C68">
        <v>7</v>
      </c>
      <c r="D68">
        <v>1.68</v>
      </c>
      <c r="E68">
        <v>4.0999999999999996</v>
      </c>
      <c r="F68">
        <v>48</v>
      </c>
      <c r="G68">
        <v>6.2</v>
      </c>
      <c r="H68">
        <v>0</v>
      </c>
      <c r="I68">
        <v>1</v>
      </c>
      <c r="J68">
        <v>3</v>
      </c>
      <c r="AA68" s="15">
        <v>43374</v>
      </c>
      <c r="AB68" s="14" t="e">
        <f>IF(AND(EOMONTH($AA68,0)&gt;=$C$5,$AA68&lt;=$C$6),($D$11="Oui")*SUMIFS(Donnees!$B$2:$B$2107,Donnees!$A$2:$A$2107,"&gt;="&amp;MAX($AA68,$C$5),Donnees!$A$2:$A$2107,"&lt;="&amp;MIN(EOMONTH($AA68,0),$C$6))+($D$12="Oui")*SUMIFS(Donnees!$C$2:$C$2107,Donnees!$A$2:$A$2107,"&gt;="&amp;MAX($AA68,$C$5),Donnees!$A$2:$A$2107,"&lt;="&amp;MIN(EOMONTH($AA68,0),$C$6))+($D$13="Oui")*SUMIFS(Donnees!$D$2:$D$2107,Donnees!$A$2:$A$2107,"&gt;="&amp;MAX($AA68,$C$5),Donnees!$A$2:$A$2107,"&lt;="&amp;MIN(EOMONTH($AA68,0),$C$6))+($D$14="Oui")*SUMIFS(Donnees!$E$2:$E$2107,Donnees!$A$2:$A$2107,"&gt;="&amp;MAX($AA68,$C$5),Donnees!$A$2:$A$2107,"&lt;="&amp;MIN(EOMONTH($AA68,0),$C$6))+($D$15="Oui")*SUMIFS(Donnees!$F$2:$F$2107,Donnees!$A$2:$A$2107,"&gt;="&amp;MAX($AA68,$C$5),Donnees!$A$2:$A$2107,"&lt;="&amp;MIN(EOMONTH($AA68,0),$C$6))+($D$16="Oui")*SUMIFS(Donnees!$G$2:$G$2107,Donnees!$A$2:$A$2107,"&gt;="&amp;MAX($AA68,$C$5),Donnees!$A$2:$A$2107,"&lt;="&amp;MIN(EOMONTH($AA68,0),$C$6))+($D$17="Oui")*SUMIFS(Donnees!$H$2:$H$2107,Donnees!$A$2:$A$2107,"&gt;="&amp;MAX($AA68,$C$5),Donnees!$A$2:$A$2107,"&lt;="&amp;MIN(EOMONTH($AA68,0),$C$6))+($D$18="Oui")*SUMIFS(Donnees!$I$2:$I$2107,Donnees!$A$2:$A$2107,"&gt;="&amp;MAX($AA68,$C$5),Donnees!$A$2:$A$2107,"&lt;="&amp;MIN(EOMONTH($AA68,0),$C$6)),NA())</f>
        <v>#N/A</v>
      </c>
    </row>
    <row r="69" spans="2:28" x14ac:dyDescent="0.25">
      <c r="B69">
        <v>43737</v>
      </c>
      <c r="C69">
        <v>3.51</v>
      </c>
      <c r="D69">
        <v>3.867</v>
      </c>
      <c r="E69">
        <v>3</v>
      </c>
      <c r="F69">
        <v>67.8</v>
      </c>
      <c r="G69">
        <v>6</v>
      </c>
      <c r="H69">
        <v>0</v>
      </c>
      <c r="I69">
        <v>3</v>
      </c>
      <c r="J69">
        <v>2.1</v>
      </c>
      <c r="AA69" s="15">
        <v>43405</v>
      </c>
      <c r="AB69" s="14" t="e">
        <f>IF(AND(EOMONTH($AA69,0)&gt;=$C$5,$AA69&lt;=$C$6),($D$11="Oui")*SUMIFS(Donnees!$B$2:$B$2107,Donnees!$A$2:$A$2107,"&gt;="&amp;MAX($AA69,$C$5),Donnees!$A$2:$A$2107,"&lt;="&amp;MIN(EOMONTH($AA69,0),$C$6))+($D$12="Oui")*SUMIFS(Donnees!$C$2:$C$2107,Donnees!$A$2:$A$2107,"&gt;="&amp;MAX($AA69,$C$5),Donnees!$A$2:$A$2107,"&lt;="&amp;MIN(EOMONTH($AA69,0),$C$6))+($D$13="Oui")*SUMIFS(Donnees!$D$2:$D$2107,Donnees!$A$2:$A$2107,"&gt;="&amp;MAX($AA69,$C$5),Donnees!$A$2:$A$2107,"&lt;="&amp;MIN(EOMONTH($AA69,0),$C$6))+($D$14="Oui")*SUMIFS(Donnees!$E$2:$E$2107,Donnees!$A$2:$A$2107,"&gt;="&amp;MAX($AA69,$C$5),Donnees!$A$2:$A$2107,"&lt;="&amp;MIN(EOMONTH($AA69,0),$C$6))+($D$15="Oui")*SUMIFS(Donnees!$F$2:$F$2107,Donnees!$A$2:$A$2107,"&gt;="&amp;MAX($AA69,$C$5),Donnees!$A$2:$A$2107,"&lt;="&amp;MIN(EOMONTH($AA69,0),$C$6))+($D$16="Oui")*SUMIFS(Donnees!$G$2:$G$2107,Donnees!$A$2:$A$2107,"&gt;="&amp;MAX($AA69,$C$5),Donnees!$A$2:$A$2107,"&lt;="&amp;MIN(EOMONTH($AA69,0),$C$6))+($D$17="Oui")*SUMIFS(Donnees!$H$2:$H$2107,Donnees!$A$2:$A$2107,"&gt;="&amp;MAX($AA69,$C$5),Donnees!$A$2:$A$2107,"&lt;="&amp;MIN(EOMONTH($AA69,0),$C$6))+($D$18="Oui")*SUMIFS(Donnees!$I$2:$I$2107,Donnees!$A$2:$A$2107,"&gt;="&amp;MAX($AA69,$C$5),Donnees!$A$2:$A$2107,"&lt;="&amp;MIN(EOMONTH($AA69,0),$C$6)),NA())</f>
        <v>#N/A</v>
      </c>
    </row>
    <row r="70" spans="2:28" x14ac:dyDescent="0.25">
      <c r="B70">
        <v>43738</v>
      </c>
      <c r="C70">
        <v>2</v>
      </c>
      <c r="D70">
        <v>1.4390000000000001</v>
      </c>
      <c r="E70">
        <v>2.1</v>
      </c>
      <c r="F70">
        <v>49.4</v>
      </c>
      <c r="G70">
        <v>9</v>
      </c>
      <c r="H70">
        <v>0</v>
      </c>
      <c r="I70">
        <v>5</v>
      </c>
      <c r="J70">
        <v>2</v>
      </c>
      <c r="AA70" s="15">
        <v>43435</v>
      </c>
      <c r="AB70" s="14" t="e">
        <f>IF(AND(EOMONTH($AA70,0)&gt;=$C$5,$AA70&lt;=$C$6),($D$11="Oui")*SUMIFS(Donnees!$B$2:$B$2107,Donnees!$A$2:$A$2107,"&gt;="&amp;MAX($AA70,$C$5),Donnees!$A$2:$A$2107,"&lt;="&amp;MIN(EOMONTH($AA70,0),$C$6))+($D$12="Oui")*SUMIFS(Donnees!$C$2:$C$2107,Donnees!$A$2:$A$2107,"&gt;="&amp;MAX($AA70,$C$5),Donnees!$A$2:$A$2107,"&lt;="&amp;MIN(EOMONTH($AA70,0),$C$6))+($D$13="Oui")*SUMIFS(Donnees!$D$2:$D$2107,Donnees!$A$2:$A$2107,"&gt;="&amp;MAX($AA70,$C$5),Donnees!$A$2:$A$2107,"&lt;="&amp;MIN(EOMONTH($AA70,0),$C$6))+($D$14="Oui")*SUMIFS(Donnees!$E$2:$E$2107,Donnees!$A$2:$A$2107,"&gt;="&amp;MAX($AA70,$C$5),Donnees!$A$2:$A$2107,"&lt;="&amp;MIN(EOMONTH($AA70,0),$C$6))+($D$15="Oui")*SUMIFS(Donnees!$F$2:$F$2107,Donnees!$A$2:$A$2107,"&gt;="&amp;MAX($AA70,$C$5),Donnees!$A$2:$A$2107,"&lt;="&amp;MIN(EOMONTH($AA70,0),$C$6))+($D$16="Oui")*SUMIFS(Donnees!$G$2:$G$2107,Donnees!$A$2:$A$2107,"&gt;="&amp;MAX($AA70,$C$5),Donnees!$A$2:$A$2107,"&lt;="&amp;MIN(EOMONTH($AA70,0),$C$6))+($D$17="Oui")*SUMIFS(Donnees!$H$2:$H$2107,Donnees!$A$2:$A$2107,"&gt;="&amp;MAX($AA70,$C$5),Donnees!$A$2:$A$2107,"&lt;="&amp;MIN(EOMONTH($AA70,0),$C$6))+($D$18="Oui")*SUMIFS(Donnees!$I$2:$I$2107,Donnees!$A$2:$A$2107,"&gt;="&amp;MAX($AA70,$C$5),Donnees!$A$2:$A$2107,"&lt;="&amp;MIN(EOMONTH($AA70,0),$C$6)),NA())</f>
        <v>#N/A</v>
      </c>
    </row>
    <row r="71" spans="2:28" x14ac:dyDescent="0.25">
      <c r="AA71" s="15">
        <v>43466</v>
      </c>
      <c r="AB71" s="14" t="e">
        <f>IF(AND(EOMONTH($AA71,0)&gt;=$C$5,$AA71&lt;=$C$6),($D$11="Oui")*SUMIFS(Donnees!$B$2:$B$2107,Donnees!$A$2:$A$2107,"&gt;="&amp;MAX($AA71,$C$5),Donnees!$A$2:$A$2107,"&lt;="&amp;MIN(EOMONTH($AA71,0),$C$6))+($D$12="Oui")*SUMIFS(Donnees!$C$2:$C$2107,Donnees!$A$2:$A$2107,"&gt;="&amp;MAX($AA71,$C$5),Donnees!$A$2:$A$2107,"&lt;="&amp;MIN(EOMONTH($AA71,0),$C$6))+($D$13="Oui")*SUMIFS(Donnees!$D$2:$D$2107,Donnees!$A$2:$A$2107,"&gt;="&amp;MAX($AA71,$C$5),Donnees!$A$2:$A$2107,"&lt;="&amp;MIN(EOMONTH($AA71,0),$C$6))+($D$14="Oui")*SUMIFS(Donnees!$E$2:$E$2107,Donnees!$A$2:$A$2107,"&gt;="&amp;MAX($AA71,$C$5),Donnees!$A$2:$A$2107,"&lt;="&amp;MIN(EOMONTH($AA71,0),$C$6))+($D$15="Oui")*SUMIFS(Donnees!$F$2:$F$2107,Donnees!$A$2:$A$2107,"&gt;="&amp;MAX($AA71,$C$5),Donnees!$A$2:$A$2107,"&lt;="&amp;MIN(EOMONTH($AA71,0),$C$6))+($D$16="Oui")*SUMIFS(Donnees!$G$2:$G$2107,Donnees!$A$2:$A$2107,"&gt;="&amp;MAX($AA71,$C$5),Donnees!$A$2:$A$2107,"&lt;="&amp;MIN(EOMONTH($AA71,0),$C$6))+($D$17="Oui")*SUMIFS(Donnees!$H$2:$H$2107,Donnees!$A$2:$A$2107,"&gt;="&amp;MAX($AA71,$C$5),Donnees!$A$2:$A$2107,"&lt;="&amp;MIN(EOMONTH($AA71,0),$C$6))+($D$18="Oui")*SUMIFS(Donnees!$I$2:$I$2107,Donnees!$A$2:$A$2107,"&gt;="&amp;MAX($AA71,$C$5),Donnees!$A$2:$A$2107,"&lt;="&amp;MIN(EOMONTH($AA71,0),$C$6)),NA())</f>
        <v>#N/A</v>
      </c>
    </row>
    <row r="72" spans="2:28" x14ac:dyDescent="0.25">
      <c r="AA72" s="15">
        <v>43497</v>
      </c>
      <c r="AB72" s="14" t="e">
        <f>IF(AND(EOMONTH($AA72,0)&gt;=$C$5,$AA72&lt;=$C$6),($D$11="Oui")*SUMIFS(Donnees!$B$2:$B$2107,Donnees!$A$2:$A$2107,"&gt;="&amp;MAX($AA72,$C$5),Donnees!$A$2:$A$2107,"&lt;="&amp;MIN(EOMONTH($AA72,0),$C$6))+($D$12="Oui")*SUMIFS(Donnees!$C$2:$C$2107,Donnees!$A$2:$A$2107,"&gt;="&amp;MAX($AA72,$C$5),Donnees!$A$2:$A$2107,"&lt;="&amp;MIN(EOMONTH($AA72,0),$C$6))+($D$13="Oui")*SUMIFS(Donnees!$D$2:$D$2107,Donnees!$A$2:$A$2107,"&gt;="&amp;MAX($AA72,$C$5),Donnees!$A$2:$A$2107,"&lt;="&amp;MIN(EOMONTH($AA72,0),$C$6))+($D$14="Oui")*SUMIFS(Donnees!$E$2:$E$2107,Donnees!$A$2:$A$2107,"&gt;="&amp;MAX($AA72,$C$5),Donnees!$A$2:$A$2107,"&lt;="&amp;MIN(EOMONTH($AA72,0),$C$6))+($D$15="Oui")*SUMIFS(Donnees!$F$2:$F$2107,Donnees!$A$2:$A$2107,"&gt;="&amp;MAX($AA72,$C$5),Donnees!$A$2:$A$2107,"&lt;="&amp;MIN(EOMONTH($AA72,0),$C$6))+($D$16="Oui")*SUMIFS(Donnees!$G$2:$G$2107,Donnees!$A$2:$A$2107,"&gt;="&amp;MAX($AA72,$C$5),Donnees!$A$2:$A$2107,"&lt;="&amp;MIN(EOMONTH($AA72,0),$C$6))+($D$17="Oui")*SUMIFS(Donnees!$H$2:$H$2107,Donnees!$A$2:$A$2107,"&gt;="&amp;MAX($AA72,$C$5),Donnees!$A$2:$A$2107,"&lt;="&amp;MIN(EOMONTH($AA72,0),$C$6))+($D$18="Oui")*SUMIFS(Donnees!$I$2:$I$2107,Donnees!$A$2:$A$2107,"&gt;="&amp;MAX($AA72,$C$5),Donnees!$A$2:$A$2107,"&lt;="&amp;MIN(EOMONTH($AA72,0),$C$6)),NA())</f>
        <v>#N/A</v>
      </c>
    </row>
    <row r="73" spans="2:28" x14ac:dyDescent="0.25">
      <c r="AA73" s="15">
        <v>43525</v>
      </c>
      <c r="AB73" s="14" t="e">
        <f>IF(AND(EOMONTH($AA73,0)&gt;=$C$5,$AA73&lt;=$C$6),($D$11="Oui")*SUMIFS(Donnees!$B$2:$B$2107,Donnees!$A$2:$A$2107,"&gt;="&amp;MAX($AA73,$C$5),Donnees!$A$2:$A$2107,"&lt;="&amp;MIN(EOMONTH($AA73,0),$C$6))+($D$12="Oui")*SUMIFS(Donnees!$C$2:$C$2107,Donnees!$A$2:$A$2107,"&gt;="&amp;MAX($AA73,$C$5),Donnees!$A$2:$A$2107,"&lt;="&amp;MIN(EOMONTH($AA73,0),$C$6))+($D$13="Oui")*SUMIFS(Donnees!$D$2:$D$2107,Donnees!$A$2:$A$2107,"&gt;="&amp;MAX($AA73,$C$5),Donnees!$A$2:$A$2107,"&lt;="&amp;MIN(EOMONTH($AA73,0),$C$6))+($D$14="Oui")*SUMIFS(Donnees!$E$2:$E$2107,Donnees!$A$2:$A$2107,"&gt;="&amp;MAX($AA73,$C$5),Donnees!$A$2:$A$2107,"&lt;="&amp;MIN(EOMONTH($AA73,0),$C$6))+($D$15="Oui")*SUMIFS(Donnees!$F$2:$F$2107,Donnees!$A$2:$A$2107,"&gt;="&amp;MAX($AA73,$C$5),Donnees!$A$2:$A$2107,"&lt;="&amp;MIN(EOMONTH($AA73,0),$C$6))+($D$16="Oui")*SUMIFS(Donnees!$G$2:$G$2107,Donnees!$A$2:$A$2107,"&gt;="&amp;MAX($AA73,$C$5),Donnees!$A$2:$A$2107,"&lt;="&amp;MIN(EOMONTH($AA73,0),$C$6))+($D$17="Oui")*SUMIFS(Donnees!$H$2:$H$2107,Donnees!$A$2:$A$2107,"&gt;="&amp;MAX($AA73,$C$5),Donnees!$A$2:$A$2107,"&lt;="&amp;MIN(EOMONTH($AA73,0),$C$6))+($D$18="Oui")*SUMIFS(Donnees!$I$2:$I$2107,Donnees!$A$2:$A$2107,"&gt;="&amp;MAX($AA73,$C$5),Donnees!$A$2:$A$2107,"&lt;="&amp;MIN(EOMONTH($AA73,0),$C$6)),NA())</f>
        <v>#N/A</v>
      </c>
    </row>
    <row r="74" spans="2:28" x14ac:dyDescent="0.25">
      <c r="AA74" s="15">
        <v>43556</v>
      </c>
      <c r="AB74" s="14" t="e">
        <f>IF(AND(EOMONTH($AA74,0)&gt;=$C$5,$AA74&lt;=$C$6),($D$11="Oui")*SUMIFS(Donnees!$B$2:$B$2107,Donnees!$A$2:$A$2107,"&gt;="&amp;MAX($AA74,$C$5),Donnees!$A$2:$A$2107,"&lt;="&amp;MIN(EOMONTH($AA74,0),$C$6))+($D$12="Oui")*SUMIFS(Donnees!$C$2:$C$2107,Donnees!$A$2:$A$2107,"&gt;="&amp;MAX($AA74,$C$5),Donnees!$A$2:$A$2107,"&lt;="&amp;MIN(EOMONTH($AA74,0),$C$6))+($D$13="Oui")*SUMIFS(Donnees!$D$2:$D$2107,Donnees!$A$2:$A$2107,"&gt;="&amp;MAX($AA74,$C$5),Donnees!$A$2:$A$2107,"&lt;="&amp;MIN(EOMONTH($AA74,0),$C$6))+($D$14="Oui")*SUMIFS(Donnees!$E$2:$E$2107,Donnees!$A$2:$A$2107,"&gt;="&amp;MAX($AA74,$C$5),Donnees!$A$2:$A$2107,"&lt;="&amp;MIN(EOMONTH($AA74,0),$C$6))+($D$15="Oui")*SUMIFS(Donnees!$F$2:$F$2107,Donnees!$A$2:$A$2107,"&gt;="&amp;MAX($AA74,$C$5),Donnees!$A$2:$A$2107,"&lt;="&amp;MIN(EOMONTH($AA74,0),$C$6))+($D$16="Oui")*SUMIFS(Donnees!$G$2:$G$2107,Donnees!$A$2:$A$2107,"&gt;="&amp;MAX($AA74,$C$5),Donnees!$A$2:$A$2107,"&lt;="&amp;MIN(EOMONTH($AA74,0),$C$6))+($D$17="Oui")*SUMIFS(Donnees!$H$2:$H$2107,Donnees!$A$2:$A$2107,"&gt;="&amp;MAX($AA74,$C$5),Donnees!$A$2:$A$2107,"&lt;="&amp;MIN(EOMONTH($AA74,0),$C$6))+($D$18="Oui")*SUMIFS(Donnees!$I$2:$I$2107,Donnees!$A$2:$A$2107,"&gt;="&amp;MAX($AA74,$C$5),Donnees!$A$2:$A$2107,"&lt;="&amp;MIN(EOMONTH($AA74,0),$C$6)),NA())</f>
        <v>#N/A</v>
      </c>
    </row>
    <row r="75" spans="2:28" x14ac:dyDescent="0.25">
      <c r="AA75" s="15">
        <v>43586</v>
      </c>
      <c r="AB75" s="14" t="e">
        <f>IF(AND(EOMONTH($AA75,0)&gt;=$C$5,$AA75&lt;=$C$6),($D$11="Oui")*SUMIFS(Donnees!$B$2:$B$2107,Donnees!$A$2:$A$2107,"&gt;="&amp;MAX($AA75,$C$5),Donnees!$A$2:$A$2107,"&lt;="&amp;MIN(EOMONTH($AA75,0),$C$6))+($D$12="Oui")*SUMIFS(Donnees!$C$2:$C$2107,Donnees!$A$2:$A$2107,"&gt;="&amp;MAX($AA75,$C$5),Donnees!$A$2:$A$2107,"&lt;="&amp;MIN(EOMONTH($AA75,0),$C$6))+($D$13="Oui")*SUMIFS(Donnees!$D$2:$D$2107,Donnees!$A$2:$A$2107,"&gt;="&amp;MAX($AA75,$C$5),Donnees!$A$2:$A$2107,"&lt;="&amp;MIN(EOMONTH($AA75,0),$C$6))+($D$14="Oui")*SUMIFS(Donnees!$E$2:$E$2107,Donnees!$A$2:$A$2107,"&gt;="&amp;MAX($AA75,$C$5),Donnees!$A$2:$A$2107,"&lt;="&amp;MIN(EOMONTH($AA75,0),$C$6))+($D$15="Oui")*SUMIFS(Donnees!$F$2:$F$2107,Donnees!$A$2:$A$2107,"&gt;="&amp;MAX($AA75,$C$5),Donnees!$A$2:$A$2107,"&lt;="&amp;MIN(EOMONTH($AA75,0),$C$6))+($D$16="Oui")*SUMIFS(Donnees!$G$2:$G$2107,Donnees!$A$2:$A$2107,"&gt;="&amp;MAX($AA75,$C$5),Donnees!$A$2:$A$2107,"&lt;="&amp;MIN(EOMONTH($AA75,0),$C$6))+($D$17="Oui")*SUMIFS(Donnees!$H$2:$H$2107,Donnees!$A$2:$A$2107,"&gt;="&amp;MAX($AA75,$C$5),Donnees!$A$2:$A$2107,"&lt;="&amp;MIN(EOMONTH($AA75,0),$C$6))+($D$18="Oui")*SUMIFS(Donnees!$I$2:$I$2107,Donnees!$A$2:$A$2107,"&gt;="&amp;MAX($AA75,$C$5),Donnees!$A$2:$A$2107,"&lt;="&amp;MIN(EOMONTH($AA75,0),$C$6)),NA())</f>
        <v>#N/A</v>
      </c>
    </row>
    <row r="76" spans="2:28" x14ac:dyDescent="0.25">
      <c r="AA76" s="15">
        <v>43617</v>
      </c>
      <c r="AB76" s="14" t="e">
        <f>IF(AND(EOMONTH($AA76,0)&gt;=$C$5,$AA76&lt;=$C$6),($D$11="Oui")*SUMIFS(Donnees!$B$2:$B$2107,Donnees!$A$2:$A$2107,"&gt;="&amp;MAX($AA76,$C$5),Donnees!$A$2:$A$2107,"&lt;="&amp;MIN(EOMONTH($AA76,0),$C$6))+($D$12="Oui")*SUMIFS(Donnees!$C$2:$C$2107,Donnees!$A$2:$A$2107,"&gt;="&amp;MAX($AA76,$C$5),Donnees!$A$2:$A$2107,"&lt;="&amp;MIN(EOMONTH($AA76,0),$C$6))+($D$13="Oui")*SUMIFS(Donnees!$D$2:$D$2107,Donnees!$A$2:$A$2107,"&gt;="&amp;MAX($AA76,$C$5),Donnees!$A$2:$A$2107,"&lt;="&amp;MIN(EOMONTH($AA76,0),$C$6))+($D$14="Oui")*SUMIFS(Donnees!$E$2:$E$2107,Donnees!$A$2:$A$2107,"&gt;="&amp;MAX($AA76,$C$5),Donnees!$A$2:$A$2107,"&lt;="&amp;MIN(EOMONTH($AA76,0),$C$6))+($D$15="Oui")*SUMIFS(Donnees!$F$2:$F$2107,Donnees!$A$2:$A$2107,"&gt;="&amp;MAX($AA76,$C$5),Donnees!$A$2:$A$2107,"&lt;="&amp;MIN(EOMONTH($AA76,0),$C$6))+($D$16="Oui")*SUMIFS(Donnees!$G$2:$G$2107,Donnees!$A$2:$A$2107,"&gt;="&amp;MAX($AA76,$C$5),Donnees!$A$2:$A$2107,"&lt;="&amp;MIN(EOMONTH($AA76,0),$C$6))+($D$17="Oui")*SUMIFS(Donnees!$H$2:$H$2107,Donnees!$A$2:$A$2107,"&gt;="&amp;MAX($AA76,$C$5),Donnees!$A$2:$A$2107,"&lt;="&amp;MIN(EOMONTH($AA76,0),$C$6))+($D$18="Oui")*SUMIFS(Donnees!$I$2:$I$2107,Donnees!$A$2:$A$2107,"&gt;="&amp;MAX($AA76,$C$5),Donnees!$A$2:$A$2107,"&lt;="&amp;MIN(EOMONTH($AA76,0),$C$6)),NA())</f>
        <v>#N/A</v>
      </c>
    </row>
    <row r="77" spans="2:28" x14ac:dyDescent="0.25">
      <c r="AA77" s="15">
        <v>43647</v>
      </c>
      <c r="AB77" s="14" t="e">
        <f>IF(AND(EOMONTH($AA77,0)&gt;=$C$5,$AA77&lt;=$C$6),($D$11="Oui")*SUMIFS(Donnees!$B$2:$B$2107,Donnees!$A$2:$A$2107,"&gt;="&amp;MAX($AA77,$C$5),Donnees!$A$2:$A$2107,"&lt;="&amp;MIN(EOMONTH($AA77,0),$C$6))+($D$12="Oui")*SUMIFS(Donnees!$C$2:$C$2107,Donnees!$A$2:$A$2107,"&gt;="&amp;MAX($AA77,$C$5),Donnees!$A$2:$A$2107,"&lt;="&amp;MIN(EOMONTH($AA77,0),$C$6))+($D$13="Oui")*SUMIFS(Donnees!$D$2:$D$2107,Donnees!$A$2:$A$2107,"&gt;="&amp;MAX($AA77,$C$5),Donnees!$A$2:$A$2107,"&lt;="&amp;MIN(EOMONTH($AA77,0),$C$6))+($D$14="Oui")*SUMIFS(Donnees!$E$2:$E$2107,Donnees!$A$2:$A$2107,"&gt;="&amp;MAX($AA77,$C$5),Donnees!$A$2:$A$2107,"&lt;="&amp;MIN(EOMONTH($AA77,0),$C$6))+($D$15="Oui")*SUMIFS(Donnees!$F$2:$F$2107,Donnees!$A$2:$A$2107,"&gt;="&amp;MAX($AA77,$C$5),Donnees!$A$2:$A$2107,"&lt;="&amp;MIN(EOMONTH($AA77,0),$C$6))+($D$16="Oui")*SUMIFS(Donnees!$G$2:$G$2107,Donnees!$A$2:$A$2107,"&gt;="&amp;MAX($AA77,$C$5),Donnees!$A$2:$A$2107,"&lt;="&amp;MIN(EOMONTH($AA77,0),$C$6))+($D$17="Oui")*SUMIFS(Donnees!$H$2:$H$2107,Donnees!$A$2:$A$2107,"&gt;="&amp;MAX($AA77,$C$5),Donnees!$A$2:$A$2107,"&lt;="&amp;MIN(EOMONTH($AA77,0),$C$6))+($D$18="Oui")*SUMIFS(Donnees!$I$2:$I$2107,Donnees!$A$2:$A$2107,"&gt;="&amp;MAX($AA77,$C$5),Donnees!$A$2:$A$2107,"&lt;="&amp;MIN(EOMONTH($AA77,0),$C$6)),NA())</f>
        <v>#N/A</v>
      </c>
    </row>
    <row r="78" spans="2:28" x14ac:dyDescent="0.25">
      <c r="AA78" s="15">
        <v>43678</v>
      </c>
      <c r="AB78" s="14" t="e">
        <f>IF(AND(EOMONTH($AA78,0)&gt;=$C$5,$AA78&lt;=$C$6),($D$11="Oui")*SUMIFS(Donnees!$B$2:$B$2107,Donnees!$A$2:$A$2107,"&gt;="&amp;MAX($AA78,$C$5),Donnees!$A$2:$A$2107,"&lt;="&amp;MIN(EOMONTH($AA78,0),$C$6))+($D$12="Oui")*SUMIFS(Donnees!$C$2:$C$2107,Donnees!$A$2:$A$2107,"&gt;="&amp;MAX($AA78,$C$5),Donnees!$A$2:$A$2107,"&lt;="&amp;MIN(EOMONTH($AA78,0),$C$6))+($D$13="Oui")*SUMIFS(Donnees!$D$2:$D$2107,Donnees!$A$2:$A$2107,"&gt;="&amp;MAX($AA78,$C$5),Donnees!$A$2:$A$2107,"&lt;="&amp;MIN(EOMONTH($AA78,0),$C$6))+($D$14="Oui")*SUMIFS(Donnees!$E$2:$E$2107,Donnees!$A$2:$A$2107,"&gt;="&amp;MAX($AA78,$C$5),Donnees!$A$2:$A$2107,"&lt;="&amp;MIN(EOMONTH($AA78,0),$C$6))+($D$15="Oui")*SUMIFS(Donnees!$F$2:$F$2107,Donnees!$A$2:$A$2107,"&gt;="&amp;MAX($AA78,$C$5),Donnees!$A$2:$A$2107,"&lt;="&amp;MIN(EOMONTH($AA78,0),$C$6))+($D$16="Oui")*SUMIFS(Donnees!$G$2:$G$2107,Donnees!$A$2:$A$2107,"&gt;="&amp;MAX($AA78,$C$5),Donnees!$A$2:$A$2107,"&lt;="&amp;MIN(EOMONTH($AA78,0),$C$6))+($D$17="Oui")*SUMIFS(Donnees!$H$2:$H$2107,Donnees!$A$2:$A$2107,"&gt;="&amp;MAX($AA78,$C$5),Donnees!$A$2:$A$2107,"&lt;="&amp;MIN(EOMONTH($AA78,0),$C$6))+($D$18="Oui")*SUMIFS(Donnees!$I$2:$I$2107,Donnees!$A$2:$A$2107,"&gt;="&amp;MAX($AA78,$C$5),Donnees!$A$2:$A$2107,"&lt;="&amp;MIN(EOMONTH($AA78,0),$C$6)),NA())</f>
        <v>#N/A</v>
      </c>
    </row>
    <row r="79" spans="2:28" x14ac:dyDescent="0.25">
      <c r="AA79" s="15">
        <v>43709</v>
      </c>
      <c r="AB79" s="14">
        <f>IF(AND(EOMONTH($AA79,0)&gt;=$C$5,$AA79&lt;=$C$6),($D$11="Oui")*SUMIFS(Donnees!$B$2:$B$2107,Donnees!$A$2:$A$2107,"&gt;="&amp;MAX($AA79,$C$5),Donnees!$A$2:$A$2107,"&lt;="&amp;MIN(EOMONTH($AA79,0),$C$6))+($D$12="Oui")*SUMIFS(Donnees!$C$2:$C$2107,Donnees!$A$2:$A$2107,"&gt;="&amp;MAX($AA79,$C$5),Donnees!$A$2:$A$2107,"&lt;="&amp;MIN(EOMONTH($AA79,0),$C$6))+($D$13="Oui")*SUMIFS(Donnees!$D$2:$D$2107,Donnees!$A$2:$A$2107,"&gt;="&amp;MAX($AA79,$C$5),Donnees!$A$2:$A$2107,"&lt;="&amp;MIN(EOMONTH($AA79,0),$C$6))+($D$14="Oui")*SUMIFS(Donnees!$E$2:$E$2107,Donnees!$A$2:$A$2107,"&gt;="&amp;MAX($AA79,$C$5),Donnees!$A$2:$A$2107,"&lt;="&amp;MIN(EOMONTH($AA79,0),$C$6))+($D$15="Oui")*SUMIFS(Donnees!$F$2:$F$2107,Donnees!$A$2:$A$2107,"&gt;="&amp;MAX($AA79,$C$5),Donnees!$A$2:$A$2107,"&lt;="&amp;MIN(EOMONTH($AA79,0),$C$6))+($D$16="Oui")*SUMIFS(Donnees!$G$2:$G$2107,Donnees!$A$2:$A$2107,"&gt;="&amp;MAX($AA79,$C$5),Donnees!$A$2:$A$2107,"&lt;="&amp;MIN(EOMONTH($AA79,0),$C$6))+($D$17="Oui")*SUMIFS(Donnees!$H$2:$H$2107,Donnees!$A$2:$A$2107,"&gt;="&amp;MAX($AA79,$C$5),Donnees!$A$2:$A$2107,"&lt;="&amp;MIN(EOMONTH($AA79,0),$C$6))+($D$18="Oui")*SUMIFS(Donnees!$I$2:$I$2107,Donnees!$A$2:$A$2107,"&gt;="&amp;MAX($AA79,$C$5),Donnees!$A$2:$A$2107,"&lt;="&amp;MIN(EOMONTH($AA79,0),$C$6)),NA())</f>
        <v>1824.8036666669998</v>
      </c>
    </row>
    <row r="80" spans="2:28" x14ac:dyDescent="0.25">
      <c r="AA80" s="15">
        <v>43739</v>
      </c>
      <c r="AB80" s="14" t="e">
        <f>IF(AND(EOMONTH($AA80,0)&gt;=$C$5,$AA80&lt;=$C$6),($D$11="Oui")*SUMIFS(Donnees!$B$2:$B$2107,Donnees!$A$2:$A$2107,"&gt;="&amp;MAX($AA80,$C$5),Donnees!$A$2:$A$2107,"&lt;="&amp;MIN(EOMONTH($AA80,0),$C$6))+($D$12="Oui")*SUMIFS(Donnees!$C$2:$C$2107,Donnees!$A$2:$A$2107,"&gt;="&amp;MAX($AA80,$C$5),Donnees!$A$2:$A$2107,"&lt;="&amp;MIN(EOMONTH($AA80,0),$C$6))+($D$13="Oui")*SUMIFS(Donnees!$D$2:$D$2107,Donnees!$A$2:$A$2107,"&gt;="&amp;MAX($AA80,$C$5),Donnees!$A$2:$A$2107,"&lt;="&amp;MIN(EOMONTH($AA80,0),$C$6))+($D$14="Oui")*SUMIFS(Donnees!$E$2:$E$2107,Donnees!$A$2:$A$2107,"&gt;="&amp;MAX($AA80,$C$5),Donnees!$A$2:$A$2107,"&lt;="&amp;MIN(EOMONTH($AA80,0),$C$6))+($D$15="Oui")*SUMIFS(Donnees!$F$2:$F$2107,Donnees!$A$2:$A$2107,"&gt;="&amp;MAX($AA80,$C$5),Donnees!$A$2:$A$2107,"&lt;="&amp;MIN(EOMONTH($AA80,0),$C$6))+($D$16="Oui")*SUMIFS(Donnees!$G$2:$G$2107,Donnees!$A$2:$A$2107,"&gt;="&amp;MAX($AA80,$C$5),Donnees!$A$2:$A$2107,"&lt;="&amp;MIN(EOMONTH($AA80,0),$C$6))+($D$17="Oui")*SUMIFS(Donnees!$H$2:$H$2107,Donnees!$A$2:$A$2107,"&gt;="&amp;MAX($AA80,$C$5),Donnees!$A$2:$A$2107,"&lt;="&amp;MIN(EOMONTH($AA80,0),$C$6))+($D$18="Oui")*SUMIFS(Donnees!$I$2:$I$2107,Donnees!$A$2:$A$2107,"&gt;="&amp;MAX($AA80,$C$5),Donnees!$A$2:$A$2107,"&lt;="&amp;MIN(EOMONTH($AA80,0),$C$6)),NA())</f>
        <v>#N/A</v>
      </c>
    </row>
  </sheetData>
  <conditionalFormatting sqref="B41:B2147">
    <cfRule type="notContainsBlanks" dxfId="13" priority="2">
      <formula>LEN(TRIM(B41))&gt;0</formula>
    </cfRule>
  </conditionalFormatting>
  <conditionalFormatting sqref="I11:I18">
    <cfRule type="dataBar" priority="1">
      <dataBar>
        <cfvo type="min"/>
        <cfvo type="max"/>
        <color rgb="FF9DC3E6"/>
      </dataBar>
    </cfRule>
  </conditionalFormatting>
  <dataValidations count="2">
    <dataValidation type="date" allowBlank="1" showInputMessage="1" showErrorMessage="1" errorTitle="Date hors période" error="Saisissez une date comprise dans la période des données." sqref="C5:C6" xr:uid="{00000000-0002-0000-0100-000000000000}">
      <formula1>41641</formula1>
      <formula2>43746</formula2>
    </dataValidation>
    <dataValidation type="list" allowBlank="1" showInputMessage="1" showErrorMessage="1" sqref="D11:D18" xr:uid="{00000000-0002-0000-0100-000002000000}">
      <formula1>"Oui,Non"</formula1>
    </dataValidation>
  </dataValidations>
  <pageMargins left="0.7" right="0.7" top="0.75" bottom="0.75" header="0.3" footer="0.3"/>
  <headerFooter>
    <oddFooter>&amp;L_x000D_&amp;1#&amp;"Aptos"&amp;10&amp;K008000 Interne</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Z45"/>
  <sheetViews>
    <sheetView showGridLines="0" workbookViewId="0"/>
  </sheetViews>
  <sheetFormatPr baseColWidth="10" defaultColWidth="9.140625" defaultRowHeight="15" x14ac:dyDescent="0.25"/>
  <cols>
    <col min="1" max="1" width="2.7109375" customWidth="1"/>
    <col min="2" max="2" width="44.7109375" customWidth="1"/>
    <col min="3" max="3" width="36.7109375" customWidth="1"/>
    <col min="4" max="27" width="11.7109375" customWidth="1"/>
  </cols>
  <sheetData>
    <row r="2" spans="2:15" ht="23.25" x14ac:dyDescent="0.25">
      <c r="B2" s="1" t="s">
        <v>93</v>
      </c>
    </row>
    <row r="4" spans="2:15" ht="32.1" customHeight="1" x14ac:dyDescent="0.25">
      <c r="B4" s="4" t="s">
        <v>94</v>
      </c>
      <c r="C4" s="4" t="s">
        <v>14</v>
      </c>
      <c r="D4" s="4" t="s">
        <v>95</v>
      </c>
      <c r="E4" s="4" t="s">
        <v>16</v>
      </c>
      <c r="F4" s="4" t="s">
        <v>84</v>
      </c>
      <c r="G4" s="4" t="s">
        <v>96</v>
      </c>
      <c r="H4" s="4" t="s">
        <v>97</v>
      </c>
      <c r="I4" s="4" t="s">
        <v>98</v>
      </c>
      <c r="J4" s="4" t="s">
        <v>99</v>
      </c>
      <c r="K4" s="4" t="s">
        <v>100</v>
      </c>
      <c r="L4" s="4" t="s">
        <v>18</v>
      </c>
      <c r="M4" s="4" t="s">
        <v>101</v>
      </c>
      <c r="N4" s="4" t="s">
        <v>19</v>
      </c>
      <c r="O4" s="4" t="s">
        <v>20</v>
      </c>
    </row>
    <row r="5" spans="2:15" x14ac:dyDescent="0.25">
      <c r="B5" s="5" t="s">
        <v>25</v>
      </c>
      <c r="C5" s="5" t="s">
        <v>24</v>
      </c>
      <c r="D5" s="10">
        <v>10679.625</v>
      </c>
      <c r="E5" s="7">
        <v>8.302653618420093E-2</v>
      </c>
      <c r="F5" s="14">
        <v>5.0903836987607241</v>
      </c>
      <c r="G5" s="14">
        <v>4.99</v>
      </c>
      <c r="H5" s="14">
        <v>2.7127900472854991</v>
      </c>
      <c r="I5" s="9">
        <v>0.53292447246087538</v>
      </c>
      <c r="J5" s="10">
        <v>14</v>
      </c>
      <c r="K5" s="8">
        <v>5.6114242067486719E-2</v>
      </c>
      <c r="L5" s="5" t="s">
        <v>26</v>
      </c>
      <c r="M5" s="10">
        <v>107</v>
      </c>
      <c r="N5" s="5" t="s">
        <v>27</v>
      </c>
      <c r="O5" s="5" t="s">
        <v>28</v>
      </c>
    </row>
    <row r="6" spans="2:15" x14ac:dyDescent="0.25">
      <c r="B6" s="5" t="s">
        <v>32</v>
      </c>
      <c r="C6" s="5" t="s">
        <v>31</v>
      </c>
      <c r="D6" s="10">
        <v>8293.5490000000227</v>
      </c>
      <c r="E6" s="7">
        <v>6.4476481725149096E-2</v>
      </c>
      <c r="F6" s="14">
        <v>3.9530738798856162</v>
      </c>
      <c r="G6" s="14">
        <v>3.6749999999999998</v>
      </c>
      <c r="H6" s="14">
        <v>2.1190956053965508</v>
      </c>
      <c r="I6" s="9">
        <v>0.53606273745075272</v>
      </c>
      <c r="J6" s="10">
        <v>10</v>
      </c>
      <c r="K6" s="8">
        <v>2.5176825316177039E-2</v>
      </c>
      <c r="L6" s="5" t="s">
        <v>33</v>
      </c>
      <c r="M6" s="10">
        <v>118</v>
      </c>
      <c r="N6" s="5" t="s">
        <v>27</v>
      </c>
      <c r="O6" s="5" t="s">
        <v>34</v>
      </c>
    </row>
    <row r="7" spans="2:15" x14ac:dyDescent="0.25">
      <c r="B7" s="5" t="s">
        <v>37</v>
      </c>
      <c r="C7" s="5" t="s">
        <v>36</v>
      </c>
      <c r="D7" s="10">
        <v>8169.0096666670124</v>
      </c>
      <c r="E7" s="7">
        <v>6.3508276430924868E-2</v>
      </c>
      <c r="F7" s="14">
        <v>3.8937129011758871</v>
      </c>
      <c r="G7" s="14">
        <v>3.5</v>
      </c>
      <c r="H7" s="14">
        <v>2.3428604112534721</v>
      </c>
      <c r="I7" s="9">
        <v>0.60170343081687838</v>
      </c>
      <c r="J7" s="10">
        <v>54</v>
      </c>
      <c r="K7" s="8">
        <v>-8.5300815770442906E-2</v>
      </c>
      <c r="L7" s="5" t="s">
        <v>38</v>
      </c>
      <c r="M7" s="10">
        <v>121</v>
      </c>
      <c r="N7" s="5" t="s">
        <v>39</v>
      </c>
      <c r="O7" s="5" t="s">
        <v>40</v>
      </c>
    </row>
    <row r="8" spans="2:15" x14ac:dyDescent="0.25">
      <c r="B8" s="5" t="s">
        <v>44</v>
      </c>
      <c r="C8" s="5" t="s">
        <v>43</v>
      </c>
      <c r="D8" s="10">
        <v>63856.431000009878</v>
      </c>
      <c r="E8" s="7">
        <v>0.49643861830506708</v>
      </c>
      <c r="F8" s="14">
        <v>30.43681172545752</v>
      </c>
      <c r="G8" s="14">
        <v>27</v>
      </c>
      <c r="H8" s="14">
        <v>15.83896695283053</v>
      </c>
      <c r="I8" s="9">
        <v>0.52038850506745837</v>
      </c>
      <c r="J8" s="10">
        <v>0</v>
      </c>
      <c r="K8" s="8">
        <v>5.3854107537019143E-2</v>
      </c>
      <c r="L8" s="5" t="s">
        <v>33</v>
      </c>
      <c r="M8" s="10">
        <v>143</v>
      </c>
      <c r="N8" s="5" t="s">
        <v>45</v>
      </c>
      <c r="O8" s="5" t="s">
        <v>34</v>
      </c>
    </row>
    <row r="9" spans="2:15" x14ac:dyDescent="0.25">
      <c r="B9" s="5" t="s">
        <v>47</v>
      </c>
      <c r="C9" s="5" t="s">
        <v>46</v>
      </c>
      <c r="D9" s="10">
        <v>18527.00833333001</v>
      </c>
      <c r="E9" s="7">
        <v>0.14403439519385899</v>
      </c>
      <c r="F9" s="14">
        <v>8.8307952017778888</v>
      </c>
      <c r="G9" s="14">
        <v>8</v>
      </c>
      <c r="H9" s="14">
        <v>5.5320400936935732</v>
      </c>
      <c r="I9" s="9">
        <v>0.62644869089250499</v>
      </c>
      <c r="J9" s="10">
        <v>18</v>
      </c>
      <c r="K9" s="8">
        <v>-6.7219565559354488E-2</v>
      </c>
      <c r="L9" s="5" t="s">
        <v>33</v>
      </c>
      <c r="M9" s="10">
        <v>116</v>
      </c>
      <c r="N9" s="5" t="s">
        <v>48</v>
      </c>
      <c r="O9" s="5" t="s">
        <v>49</v>
      </c>
    </row>
    <row r="10" spans="2:15" x14ac:dyDescent="0.25">
      <c r="B10" s="5" t="s">
        <v>51</v>
      </c>
      <c r="C10" s="5" t="s">
        <v>50</v>
      </c>
      <c r="D10" s="10">
        <v>1242</v>
      </c>
      <c r="E10" s="7">
        <v>9.6556721739553195E-3</v>
      </c>
      <c r="F10" s="14">
        <v>0.59199237368922786</v>
      </c>
      <c r="G10" s="14">
        <v>0</v>
      </c>
      <c r="H10" s="14">
        <v>1.0959555142487301</v>
      </c>
      <c r="I10" s="9">
        <v>1.851300055470076</v>
      </c>
      <c r="J10" s="10">
        <v>1432</v>
      </c>
      <c r="K10" s="8">
        <v>-3.0687978608698541E-2</v>
      </c>
      <c r="L10" s="5" t="s">
        <v>33</v>
      </c>
      <c r="M10" s="10">
        <v>127</v>
      </c>
      <c r="N10" s="5" t="s">
        <v>52</v>
      </c>
      <c r="O10" s="5" t="s">
        <v>53</v>
      </c>
    </row>
    <row r="11" spans="2:15" x14ac:dyDescent="0.25">
      <c r="B11" s="5" t="s">
        <v>57</v>
      </c>
      <c r="C11" s="5" t="s">
        <v>56</v>
      </c>
      <c r="D11" s="10">
        <v>11708.083333336999</v>
      </c>
      <c r="E11" s="7">
        <v>9.1022072827739234E-2</v>
      </c>
      <c r="F11" s="14">
        <v>5.5805926279013347</v>
      </c>
      <c r="G11" s="14">
        <v>4</v>
      </c>
      <c r="H11" s="14">
        <v>6.4921552175192812</v>
      </c>
      <c r="I11" s="9">
        <v>1.163345123071768</v>
      </c>
      <c r="J11" s="10">
        <v>471</v>
      </c>
      <c r="K11" s="8">
        <v>0.21155900137305531</v>
      </c>
      <c r="L11" s="5" t="s">
        <v>58</v>
      </c>
      <c r="M11" s="10">
        <v>148</v>
      </c>
      <c r="N11" s="5" t="s">
        <v>45</v>
      </c>
      <c r="O11" s="5" t="s">
        <v>59</v>
      </c>
    </row>
    <row r="12" spans="2:15" x14ac:dyDescent="0.25">
      <c r="B12" s="5" t="s">
        <v>61</v>
      </c>
      <c r="C12" s="5" t="s">
        <v>60</v>
      </c>
      <c r="D12" s="10">
        <v>6153.3499999999967</v>
      </c>
      <c r="E12" s="7">
        <v>4.7837947159104617E-2</v>
      </c>
      <c r="F12" s="14">
        <v>2.9329599618684452</v>
      </c>
      <c r="G12" s="14">
        <v>2</v>
      </c>
      <c r="H12" s="14">
        <v>2.4203130715171519</v>
      </c>
      <c r="I12" s="9">
        <v>0.82521176660566808</v>
      </c>
      <c r="J12" s="10">
        <v>241</v>
      </c>
      <c r="K12" s="8">
        <v>0.10450179205990701</v>
      </c>
      <c r="L12" s="5" t="s">
        <v>48</v>
      </c>
      <c r="M12" s="10">
        <v>176</v>
      </c>
      <c r="N12" s="5" t="s">
        <v>58</v>
      </c>
      <c r="O12" s="5" t="s">
        <v>28</v>
      </c>
    </row>
    <row r="14" spans="2:15" ht="17.25" x14ac:dyDescent="0.25">
      <c r="B14" s="3" t="s">
        <v>102</v>
      </c>
    </row>
    <row r="15" spans="2:15" x14ac:dyDescent="0.25">
      <c r="B15" s="4" t="s">
        <v>63</v>
      </c>
      <c r="C15" s="4" t="s">
        <v>33</v>
      </c>
      <c r="D15" s="4" t="s">
        <v>38</v>
      </c>
      <c r="E15" s="4" t="s">
        <v>64</v>
      </c>
      <c r="F15" s="4" t="s">
        <v>52</v>
      </c>
      <c r="G15" s="4" t="s">
        <v>48</v>
      </c>
      <c r="H15" s="4" t="s">
        <v>27</v>
      </c>
      <c r="I15" s="4" t="s">
        <v>45</v>
      </c>
      <c r="J15" s="4" t="s">
        <v>26</v>
      </c>
      <c r="K15" s="4" t="s">
        <v>39</v>
      </c>
      <c r="L15" s="4" t="s">
        <v>65</v>
      </c>
      <c r="M15" s="4" t="s">
        <v>66</v>
      </c>
      <c r="N15" s="4" t="s">
        <v>58</v>
      </c>
    </row>
    <row r="16" spans="2:15" x14ac:dyDescent="0.25">
      <c r="B16" s="5" t="s">
        <v>67</v>
      </c>
      <c r="C16" s="10">
        <v>104</v>
      </c>
      <c r="D16" s="10">
        <v>97</v>
      </c>
      <c r="E16" s="10">
        <v>97</v>
      </c>
      <c r="F16" s="10">
        <v>103</v>
      </c>
      <c r="G16" s="10">
        <v>96</v>
      </c>
      <c r="H16" s="10">
        <v>93</v>
      </c>
      <c r="I16" s="10">
        <v>102</v>
      </c>
      <c r="J16" s="10">
        <v>107</v>
      </c>
      <c r="K16" s="10">
        <v>98</v>
      </c>
      <c r="L16" s="10">
        <v>97</v>
      </c>
      <c r="M16" s="10">
        <v>103</v>
      </c>
      <c r="N16" s="10">
        <v>103</v>
      </c>
    </row>
    <row r="17" spans="2:14" x14ac:dyDescent="0.25">
      <c r="B17" s="5" t="s">
        <v>68</v>
      </c>
      <c r="C17" s="10">
        <v>118</v>
      </c>
      <c r="D17" s="10">
        <v>118</v>
      </c>
      <c r="E17" s="10">
        <v>98</v>
      </c>
      <c r="F17" s="10">
        <v>94</v>
      </c>
      <c r="G17" s="10">
        <v>94</v>
      </c>
      <c r="H17" s="10">
        <v>90</v>
      </c>
      <c r="I17" s="10">
        <v>95</v>
      </c>
      <c r="J17" s="10">
        <v>92</v>
      </c>
      <c r="K17" s="10">
        <v>100</v>
      </c>
      <c r="L17" s="10">
        <v>98</v>
      </c>
      <c r="M17" s="10">
        <v>96</v>
      </c>
      <c r="N17" s="10">
        <v>106</v>
      </c>
    </row>
    <row r="18" spans="2:14" x14ac:dyDescent="0.25">
      <c r="B18" s="5" t="s">
        <v>69</v>
      </c>
      <c r="C18" s="10">
        <v>115</v>
      </c>
      <c r="D18" s="10">
        <v>121</v>
      </c>
      <c r="E18" s="10">
        <v>102</v>
      </c>
      <c r="F18" s="10">
        <v>97</v>
      </c>
      <c r="G18" s="10">
        <v>96</v>
      </c>
      <c r="H18" s="10">
        <v>96</v>
      </c>
      <c r="I18" s="10">
        <v>89</v>
      </c>
      <c r="J18" s="10">
        <v>89</v>
      </c>
      <c r="K18" s="10">
        <v>86</v>
      </c>
      <c r="L18" s="10">
        <v>104</v>
      </c>
      <c r="M18" s="10">
        <v>107</v>
      </c>
      <c r="N18" s="10">
        <v>98</v>
      </c>
    </row>
    <row r="19" spans="2:14" x14ac:dyDescent="0.25">
      <c r="B19" s="5" t="s">
        <v>70</v>
      </c>
      <c r="C19" s="10">
        <v>143</v>
      </c>
      <c r="D19" s="10">
        <v>118</v>
      </c>
      <c r="E19" s="10">
        <v>97</v>
      </c>
      <c r="F19" s="10">
        <v>87</v>
      </c>
      <c r="G19" s="10">
        <v>75</v>
      </c>
      <c r="H19" s="10">
        <v>67</v>
      </c>
      <c r="I19" s="10">
        <v>63</v>
      </c>
      <c r="J19" s="10">
        <v>67</v>
      </c>
      <c r="K19" s="10">
        <v>104</v>
      </c>
      <c r="L19" s="10">
        <v>138</v>
      </c>
      <c r="M19" s="10">
        <v>106</v>
      </c>
      <c r="N19" s="10">
        <v>135</v>
      </c>
    </row>
    <row r="20" spans="2:14" x14ac:dyDescent="0.25">
      <c r="B20" s="5" t="s">
        <v>71</v>
      </c>
      <c r="C20" s="10">
        <v>116</v>
      </c>
      <c r="D20" s="10">
        <v>100</v>
      </c>
      <c r="E20" s="10">
        <v>93</v>
      </c>
      <c r="F20" s="10">
        <v>91</v>
      </c>
      <c r="G20" s="10">
        <v>85</v>
      </c>
      <c r="H20" s="10">
        <v>89</v>
      </c>
      <c r="I20" s="10">
        <v>94</v>
      </c>
      <c r="J20" s="10">
        <v>103</v>
      </c>
      <c r="K20" s="10">
        <v>104</v>
      </c>
      <c r="L20" s="10">
        <v>106</v>
      </c>
      <c r="M20" s="10">
        <v>105</v>
      </c>
      <c r="N20" s="10">
        <v>113</v>
      </c>
    </row>
    <row r="21" spans="2:14" x14ac:dyDescent="0.25">
      <c r="B21" s="5" t="s">
        <v>72</v>
      </c>
      <c r="C21" s="10">
        <v>127</v>
      </c>
      <c r="D21" s="10">
        <v>91</v>
      </c>
      <c r="E21" s="10">
        <v>105</v>
      </c>
      <c r="F21" s="10">
        <v>81</v>
      </c>
      <c r="G21" s="10">
        <v>103</v>
      </c>
      <c r="H21" s="10">
        <v>99</v>
      </c>
      <c r="I21" s="10">
        <v>81</v>
      </c>
      <c r="J21" s="10">
        <v>103</v>
      </c>
      <c r="K21" s="10">
        <v>88</v>
      </c>
      <c r="L21" s="10">
        <v>85</v>
      </c>
      <c r="M21" s="10">
        <v>114</v>
      </c>
      <c r="N21" s="10">
        <v>123</v>
      </c>
    </row>
    <row r="22" spans="2:14" x14ac:dyDescent="0.25">
      <c r="B22" s="5" t="s">
        <v>73</v>
      </c>
      <c r="C22" s="10">
        <v>126</v>
      </c>
      <c r="D22" s="10">
        <v>120</v>
      </c>
      <c r="E22" s="10">
        <v>111</v>
      </c>
      <c r="F22" s="10">
        <v>103</v>
      </c>
      <c r="G22" s="10">
        <v>89</v>
      </c>
      <c r="H22" s="10">
        <v>77</v>
      </c>
      <c r="I22" s="10">
        <v>52</v>
      </c>
      <c r="J22" s="10">
        <v>55</v>
      </c>
      <c r="K22" s="10">
        <v>78</v>
      </c>
      <c r="L22" s="10">
        <v>130</v>
      </c>
      <c r="M22" s="10">
        <v>110</v>
      </c>
      <c r="N22" s="10">
        <v>148</v>
      </c>
    </row>
    <row r="23" spans="2:14" x14ac:dyDescent="0.25">
      <c r="B23" s="5" t="s">
        <v>74</v>
      </c>
      <c r="C23" s="10">
        <v>56</v>
      </c>
      <c r="D23" s="10">
        <v>58</v>
      </c>
      <c r="E23" s="10">
        <v>111</v>
      </c>
      <c r="F23" s="10">
        <v>171</v>
      </c>
      <c r="G23" s="10">
        <v>176</v>
      </c>
      <c r="H23" s="10">
        <v>154</v>
      </c>
      <c r="I23" s="10">
        <v>117</v>
      </c>
      <c r="J23" s="10">
        <v>94</v>
      </c>
      <c r="K23" s="10">
        <v>89</v>
      </c>
      <c r="L23" s="10">
        <v>69</v>
      </c>
      <c r="M23" s="10">
        <v>55</v>
      </c>
      <c r="N23" s="10">
        <v>51</v>
      </c>
    </row>
    <row r="25" spans="2:14" ht="17.25" x14ac:dyDescent="0.25">
      <c r="B25" s="3" t="s">
        <v>103</v>
      </c>
    </row>
    <row r="26" spans="2:14" x14ac:dyDescent="0.25">
      <c r="B26" s="4" t="s">
        <v>63</v>
      </c>
      <c r="C26" s="4" t="s">
        <v>59</v>
      </c>
      <c r="D26" s="4" t="s">
        <v>40</v>
      </c>
      <c r="E26" s="4" t="s">
        <v>49</v>
      </c>
      <c r="F26" s="4" t="s">
        <v>104</v>
      </c>
      <c r="G26" s="4" t="s">
        <v>53</v>
      </c>
      <c r="H26" s="4" t="s">
        <v>28</v>
      </c>
      <c r="I26" s="4" t="s">
        <v>34</v>
      </c>
    </row>
    <row r="27" spans="2:14" x14ac:dyDescent="0.25">
      <c r="B27" s="5" t="s">
        <v>67</v>
      </c>
      <c r="C27" s="10">
        <v>101</v>
      </c>
      <c r="D27" s="10">
        <v>100</v>
      </c>
      <c r="E27" s="10">
        <v>93</v>
      </c>
      <c r="F27" s="10">
        <v>90</v>
      </c>
      <c r="G27" s="10">
        <v>95</v>
      </c>
      <c r="H27" s="10">
        <v>114</v>
      </c>
      <c r="I27" s="10">
        <v>107</v>
      </c>
    </row>
    <row r="28" spans="2:14" x14ac:dyDescent="0.25">
      <c r="B28" s="5" t="s">
        <v>68</v>
      </c>
      <c r="C28" s="10">
        <v>96</v>
      </c>
      <c r="D28" s="10">
        <v>91</v>
      </c>
      <c r="E28" s="10">
        <v>94</v>
      </c>
      <c r="F28" s="10">
        <v>93</v>
      </c>
      <c r="G28" s="10">
        <v>95</v>
      </c>
      <c r="H28" s="10">
        <v>111</v>
      </c>
      <c r="I28" s="10">
        <v>119</v>
      </c>
    </row>
    <row r="29" spans="2:14" x14ac:dyDescent="0.25">
      <c r="B29" s="5" t="s">
        <v>69</v>
      </c>
      <c r="C29" s="10">
        <v>101</v>
      </c>
      <c r="D29" s="10">
        <v>110</v>
      </c>
      <c r="E29" s="10">
        <v>95</v>
      </c>
      <c r="F29" s="10">
        <v>96</v>
      </c>
      <c r="G29" s="10">
        <v>100</v>
      </c>
      <c r="H29" s="10">
        <v>108</v>
      </c>
      <c r="I29" s="10">
        <v>90</v>
      </c>
    </row>
    <row r="30" spans="2:14" x14ac:dyDescent="0.25">
      <c r="B30" s="5" t="s">
        <v>70</v>
      </c>
      <c r="C30" s="10">
        <v>98</v>
      </c>
      <c r="D30" s="10">
        <v>94</v>
      </c>
      <c r="E30" s="10">
        <v>93</v>
      </c>
      <c r="F30" s="10">
        <v>94</v>
      </c>
      <c r="G30" s="10">
        <v>96</v>
      </c>
      <c r="H30" s="10">
        <v>112</v>
      </c>
      <c r="I30" s="10">
        <v>114</v>
      </c>
    </row>
    <row r="31" spans="2:14" x14ac:dyDescent="0.25">
      <c r="B31" s="5" t="s">
        <v>71</v>
      </c>
      <c r="C31" s="10">
        <v>105</v>
      </c>
      <c r="D31" s="10">
        <v>108</v>
      </c>
      <c r="E31" s="10">
        <v>114</v>
      </c>
      <c r="F31" s="10">
        <v>99</v>
      </c>
      <c r="G31" s="10">
        <v>112</v>
      </c>
      <c r="H31" s="10">
        <v>97</v>
      </c>
      <c r="I31" s="10">
        <v>65</v>
      </c>
    </row>
    <row r="32" spans="2:14" x14ac:dyDescent="0.25">
      <c r="B32" s="5" t="s">
        <v>72</v>
      </c>
      <c r="C32" s="10">
        <v>104</v>
      </c>
      <c r="D32" s="10">
        <v>119</v>
      </c>
      <c r="E32" s="10">
        <v>112</v>
      </c>
      <c r="F32" s="10">
        <v>90</v>
      </c>
      <c r="G32" s="10">
        <v>129</v>
      </c>
      <c r="H32" s="10">
        <v>92</v>
      </c>
      <c r="I32" s="10">
        <v>53</v>
      </c>
    </row>
    <row r="33" spans="2:26" x14ac:dyDescent="0.25">
      <c r="B33" s="5" t="s">
        <v>73</v>
      </c>
      <c r="C33" s="10">
        <v>108</v>
      </c>
      <c r="D33" s="10">
        <v>97</v>
      </c>
      <c r="E33" s="10">
        <v>99</v>
      </c>
      <c r="F33" s="10">
        <v>97</v>
      </c>
      <c r="G33" s="10">
        <v>104</v>
      </c>
      <c r="H33" s="10">
        <v>101</v>
      </c>
      <c r="I33" s="10">
        <v>94</v>
      </c>
    </row>
    <row r="34" spans="2:26" x14ac:dyDescent="0.25">
      <c r="B34" s="5" t="s">
        <v>74</v>
      </c>
      <c r="C34" s="10">
        <v>99</v>
      </c>
      <c r="D34" s="10">
        <v>105</v>
      </c>
      <c r="E34" s="10">
        <v>92</v>
      </c>
      <c r="F34" s="10">
        <v>90</v>
      </c>
      <c r="G34" s="10">
        <v>95</v>
      </c>
      <c r="H34" s="10">
        <v>112</v>
      </c>
      <c r="I34" s="10">
        <v>106</v>
      </c>
    </row>
    <row r="36" spans="2:26" ht="17.25" x14ac:dyDescent="0.25">
      <c r="B36" s="3" t="s">
        <v>105</v>
      </c>
    </row>
    <row r="37" spans="2:26" x14ac:dyDescent="0.25">
      <c r="B37" s="4" t="s">
        <v>63</v>
      </c>
      <c r="C37" s="4" t="s">
        <v>106</v>
      </c>
      <c r="D37" s="4" t="s">
        <v>107</v>
      </c>
      <c r="E37" s="4" t="s">
        <v>108</v>
      </c>
      <c r="F37" s="4" t="s">
        <v>109</v>
      </c>
      <c r="G37" s="4" t="s">
        <v>110</v>
      </c>
      <c r="H37" s="4" t="s">
        <v>111</v>
      </c>
      <c r="I37" s="4" t="s">
        <v>112</v>
      </c>
      <c r="J37" s="4" t="s">
        <v>113</v>
      </c>
      <c r="K37" s="4" t="s">
        <v>114</v>
      </c>
      <c r="L37" s="4" t="s">
        <v>115</v>
      </c>
      <c r="M37" s="4" t="s">
        <v>116</v>
      </c>
      <c r="N37" s="4" t="s">
        <v>117</v>
      </c>
      <c r="O37" s="4" t="s">
        <v>118</v>
      </c>
      <c r="P37" s="4" t="s">
        <v>119</v>
      </c>
      <c r="Q37" s="4" t="s">
        <v>120</v>
      </c>
      <c r="R37" s="4" t="s">
        <v>121</v>
      </c>
      <c r="S37" s="4" t="s">
        <v>122</v>
      </c>
      <c r="T37" s="4" t="s">
        <v>123</v>
      </c>
      <c r="U37" s="4" t="s">
        <v>124</v>
      </c>
      <c r="V37" s="4" t="s">
        <v>125</v>
      </c>
      <c r="W37" s="4" t="s">
        <v>126</v>
      </c>
      <c r="X37" s="4" t="s">
        <v>127</v>
      </c>
      <c r="Y37" s="4" t="s">
        <v>128</v>
      </c>
      <c r="Z37" s="4" t="s">
        <v>129</v>
      </c>
    </row>
    <row r="38" spans="2:26" x14ac:dyDescent="0.25">
      <c r="B38" s="5" t="s">
        <v>67</v>
      </c>
      <c r="C38" s="10">
        <v>0</v>
      </c>
      <c r="D38" s="10">
        <v>0</v>
      </c>
      <c r="E38" s="10">
        <v>0</v>
      </c>
      <c r="F38" s="10">
        <v>0</v>
      </c>
      <c r="G38" s="10">
        <v>0</v>
      </c>
      <c r="H38" s="10">
        <v>0</v>
      </c>
      <c r="I38" s="10">
        <v>0</v>
      </c>
      <c r="J38" s="10">
        <v>7</v>
      </c>
      <c r="K38" s="10">
        <v>129</v>
      </c>
      <c r="L38" s="10">
        <v>170</v>
      </c>
      <c r="M38" s="10">
        <v>197</v>
      </c>
      <c r="N38" s="10">
        <v>222</v>
      </c>
      <c r="O38" s="10">
        <v>211</v>
      </c>
      <c r="P38" s="10">
        <v>184</v>
      </c>
      <c r="Q38" s="10">
        <v>194</v>
      </c>
      <c r="R38" s="10">
        <v>145</v>
      </c>
      <c r="S38" s="10">
        <v>134</v>
      </c>
      <c r="T38" s="10">
        <v>140</v>
      </c>
      <c r="U38" s="10">
        <v>167</v>
      </c>
      <c r="V38" s="10">
        <v>199</v>
      </c>
      <c r="W38" s="10">
        <v>181</v>
      </c>
      <c r="X38" s="10">
        <v>119</v>
      </c>
      <c r="Y38" s="10">
        <v>1</v>
      </c>
      <c r="Z38" s="10">
        <v>0</v>
      </c>
    </row>
    <row r="39" spans="2:26" x14ac:dyDescent="0.25">
      <c r="B39" s="5" t="s">
        <v>68</v>
      </c>
      <c r="C39" s="10">
        <v>0</v>
      </c>
      <c r="D39" s="10">
        <v>0</v>
      </c>
      <c r="E39" s="10">
        <v>0</v>
      </c>
      <c r="F39" s="10">
        <v>0</v>
      </c>
      <c r="G39" s="10">
        <v>0</v>
      </c>
      <c r="H39" s="10">
        <v>0</v>
      </c>
      <c r="I39" s="10">
        <v>0</v>
      </c>
      <c r="J39" s="10">
        <v>11</v>
      </c>
      <c r="K39" s="10">
        <v>97</v>
      </c>
      <c r="L39" s="10">
        <v>133</v>
      </c>
      <c r="M39" s="10">
        <v>162</v>
      </c>
      <c r="N39" s="10">
        <v>195</v>
      </c>
      <c r="O39" s="10">
        <v>188</v>
      </c>
      <c r="P39" s="10">
        <v>162</v>
      </c>
      <c r="Q39" s="10">
        <v>171</v>
      </c>
      <c r="R39" s="10">
        <v>148</v>
      </c>
      <c r="S39" s="10">
        <v>154</v>
      </c>
      <c r="T39" s="10">
        <v>174</v>
      </c>
      <c r="U39" s="10">
        <v>193</v>
      </c>
      <c r="V39" s="10">
        <v>236</v>
      </c>
      <c r="W39" s="10">
        <v>243</v>
      </c>
      <c r="X39" s="10">
        <v>133</v>
      </c>
      <c r="Y39" s="10">
        <v>1</v>
      </c>
      <c r="Z39" s="10">
        <v>0</v>
      </c>
    </row>
    <row r="40" spans="2:26" x14ac:dyDescent="0.25">
      <c r="B40" s="5" t="s">
        <v>69</v>
      </c>
      <c r="C40" s="10">
        <v>0</v>
      </c>
      <c r="D40" s="10">
        <v>0</v>
      </c>
      <c r="E40" s="10">
        <v>0</v>
      </c>
      <c r="F40" s="10">
        <v>0</v>
      </c>
      <c r="G40" s="10">
        <v>0</v>
      </c>
      <c r="H40" s="10">
        <v>0</v>
      </c>
      <c r="I40" s="10">
        <v>0</v>
      </c>
      <c r="J40" s="10">
        <v>7</v>
      </c>
      <c r="K40" s="10">
        <v>129</v>
      </c>
      <c r="L40" s="10">
        <v>210</v>
      </c>
      <c r="M40" s="10">
        <v>250</v>
      </c>
      <c r="N40" s="10">
        <v>249</v>
      </c>
      <c r="O40" s="10">
        <v>214</v>
      </c>
      <c r="P40" s="10">
        <v>198</v>
      </c>
      <c r="Q40" s="10">
        <v>154</v>
      </c>
      <c r="R40" s="10">
        <v>137</v>
      </c>
      <c r="S40" s="10">
        <v>119</v>
      </c>
      <c r="T40" s="10">
        <v>135</v>
      </c>
      <c r="U40" s="10">
        <v>182</v>
      </c>
      <c r="V40" s="10">
        <v>170</v>
      </c>
      <c r="W40" s="10">
        <v>161</v>
      </c>
      <c r="X40" s="10">
        <v>83</v>
      </c>
      <c r="Y40" s="10">
        <v>1</v>
      </c>
      <c r="Z40" s="10">
        <v>0</v>
      </c>
    </row>
    <row r="41" spans="2:26" x14ac:dyDescent="0.25">
      <c r="B41" s="5" t="s">
        <v>70</v>
      </c>
      <c r="C41" s="10">
        <v>0</v>
      </c>
      <c r="D41" s="10">
        <v>0</v>
      </c>
      <c r="E41" s="10">
        <v>0</v>
      </c>
      <c r="F41" s="10">
        <v>0</v>
      </c>
      <c r="G41" s="10">
        <v>0</v>
      </c>
      <c r="H41" s="10">
        <v>0</v>
      </c>
      <c r="I41" s="10">
        <v>0</v>
      </c>
      <c r="J41" s="10">
        <v>13</v>
      </c>
      <c r="K41" s="10">
        <v>105</v>
      </c>
      <c r="L41" s="10">
        <v>138</v>
      </c>
      <c r="M41" s="10">
        <v>159</v>
      </c>
      <c r="N41" s="10">
        <v>186</v>
      </c>
      <c r="O41" s="10">
        <v>194</v>
      </c>
      <c r="P41" s="10">
        <v>165</v>
      </c>
      <c r="Q41" s="10">
        <v>159</v>
      </c>
      <c r="R41" s="10">
        <v>161</v>
      </c>
      <c r="S41" s="10">
        <v>160</v>
      </c>
      <c r="T41" s="10">
        <v>166</v>
      </c>
      <c r="U41" s="10">
        <v>198</v>
      </c>
      <c r="V41" s="10">
        <v>228</v>
      </c>
      <c r="W41" s="10">
        <v>228</v>
      </c>
      <c r="X41" s="10">
        <v>138</v>
      </c>
      <c r="Y41" s="10">
        <v>1</v>
      </c>
      <c r="Z41" s="10">
        <v>0</v>
      </c>
    </row>
    <row r="42" spans="2:26" x14ac:dyDescent="0.25">
      <c r="B42" s="5" t="s">
        <v>71</v>
      </c>
      <c r="C42" s="10">
        <v>0</v>
      </c>
      <c r="D42" s="10">
        <v>0</v>
      </c>
      <c r="E42" s="10">
        <v>0</v>
      </c>
      <c r="F42" s="10">
        <v>0</v>
      </c>
      <c r="G42" s="10">
        <v>0</v>
      </c>
      <c r="H42" s="10">
        <v>0</v>
      </c>
      <c r="I42" s="10">
        <v>0</v>
      </c>
      <c r="J42" s="10">
        <v>8</v>
      </c>
      <c r="K42" s="10">
        <v>136</v>
      </c>
      <c r="L42" s="10">
        <v>188</v>
      </c>
      <c r="M42" s="10">
        <v>238</v>
      </c>
      <c r="N42" s="10">
        <v>261</v>
      </c>
      <c r="O42" s="10">
        <v>245</v>
      </c>
      <c r="P42" s="10">
        <v>223</v>
      </c>
      <c r="Q42" s="10">
        <v>174</v>
      </c>
      <c r="R42" s="10">
        <v>151</v>
      </c>
      <c r="S42" s="10">
        <v>138</v>
      </c>
      <c r="T42" s="10">
        <v>131</v>
      </c>
      <c r="U42" s="10">
        <v>149</v>
      </c>
      <c r="V42" s="10">
        <v>151</v>
      </c>
      <c r="W42" s="10">
        <v>132</v>
      </c>
      <c r="X42" s="10">
        <v>74</v>
      </c>
      <c r="Y42" s="10">
        <v>1</v>
      </c>
      <c r="Z42" s="10">
        <v>0</v>
      </c>
    </row>
    <row r="43" spans="2:26" x14ac:dyDescent="0.25">
      <c r="B43" s="5" t="s">
        <v>72</v>
      </c>
      <c r="C43" s="10">
        <v>0</v>
      </c>
      <c r="D43" s="10">
        <v>0</v>
      </c>
      <c r="E43" s="10">
        <v>0</v>
      </c>
      <c r="F43" s="10">
        <v>0</v>
      </c>
      <c r="G43" s="10">
        <v>0</v>
      </c>
      <c r="H43" s="10">
        <v>0</v>
      </c>
      <c r="I43" s="10">
        <v>0</v>
      </c>
      <c r="J43" s="10">
        <v>8</v>
      </c>
      <c r="K43" s="10">
        <v>97</v>
      </c>
      <c r="L43" s="10">
        <v>126</v>
      </c>
      <c r="M43" s="10">
        <v>180</v>
      </c>
      <c r="N43" s="10">
        <v>187</v>
      </c>
      <c r="O43" s="10">
        <v>230</v>
      </c>
      <c r="P43" s="10">
        <v>267</v>
      </c>
      <c r="Q43" s="10">
        <v>184</v>
      </c>
      <c r="R43" s="10">
        <v>213</v>
      </c>
      <c r="S43" s="10">
        <v>170</v>
      </c>
      <c r="T43" s="10">
        <v>153</v>
      </c>
      <c r="U43" s="10">
        <v>195</v>
      </c>
      <c r="V43" s="10">
        <v>166</v>
      </c>
      <c r="W43" s="10">
        <v>168</v>
      </c>
      <c r="X43" s="10">
        <v>58</v>
      </c>
      <c r="Y43" s="10">
        <v>0</v>
      </c>
      <c r="Z43" s="10">
        <v>0</v>
      </c>
    </row>
    <row r="44" spans="2:26" x14ac:dyDescent="0.25">
      <c r="B44" s="5" t="s">
        <v>73</v>
      </c>
      <c r="C44" s="10">
        <v>0</v>
      </c>
      <c r="D44" s="10">
        <v>0</v>
      </c>
      <c r="E44" s="10">
        <v>0</v>
      </c>
      <c r="F44" s="10">
        <v>0</v>
      </c>
      <c r="G44" s="10">
        <v>0</v>
      </c>
      <c r="H44" s="10">
        <v>0</v>
      </c>
      <c r="I44" s="10">
        <v>0</v>
      </c>
      <c r="J44" s="10">
        <v>12</v>
      </c>
      <c r="K44" s="10">
        <v>138</v>
      </c>
      <c r="L44" s="10">
        <v>151</v>
      </c>
      <c r="M44" s="10">
        <v>176</v>
      </c>
      <c r="N44" s="10">
        <v>169</v>
      </c>
      <c r="O44" s="10">
        <v>139</v>
      </c>
      <c r="P44" s="10">
        <v>159</v>
      </c>
      <c r="Q44" s="10">
        <v>153</v>
      </c>
      <c r="R44" s="10">
        <v>139</v>
      </c>
      <c r="S44" s="10">
        <v>122</v>
      </c>
      <c r="T44" s="10">
        <v>167</v>
      </c>
      <c r="U44" s="10">
        <v>231</v>
      </c>
      <c r="V44" s="10">
        <v>254</v>
      </c>
      <c r="W44" s="10">
        <v>253</v>
      </c>
      <c r="X44" s="10">
        <v>134</v>
      </c>
      <c r="Y44" s="10">
        <v>2</v>
      </c>
      <c r="Z44" s="10">
        <v>0</v>
      </c>
    </row>
    <row r="45" spans="2:26" x14ac:dyDescent="0.25">
      <c r="B45" s="5" t="s">
        <v>74</v>
      </c>
      <c r="C45" s="10">
        <v>0</v>
      </c>
      <c r="D45" s="10">
        <v>0</v>
      </c>
      <c r="E45" s="10">
        <v>0</v>
      </c>
      <c r="F45" s="10">
        <v>0</v>
      </c>
      <c r="G45" s="10">
        <v>0</v>
      </c>
      <c r="H45" s="10">
        <v>0</v>
      </c>
      <c r="I45" s="10">
        <v>0</v>
      </c>
      <c r="J45" s="10">
        <v>7</v>
      </c>
      <c r="K45" s="10">
        <v>109</v>
      </c>
      <c r="L45" s="10">
        <v>146</v>
      </c>
      <c r="M45" s="10">
        <v>184</v>
      </c>
      <c r="N45" s="10">
        <v>190</v>
      </c>
      <c r="O45" s="10">
        <v>196</v>
      </c>
      <c r="P45" s="10">
        <v>186</v>
      </c>
      <c r="Q45" s="10">
        <v>158</v>
      </c>
      <c r="R45" s="10">
        <v>147</v>
      </c>
      <c r="S45" s="10">
        <v>126</v>
      </c>
      <c r="T45" s="10">
        <v>136</v>
      </c>
      <c r="U45" s="10">
        <v>202</v>
      </c>
      <c r="V45" s="10">
        <v>227</v>
      </c>
      <c r="W45" s="10">
        <v>237</v>
      </c>
      <c r="X45" s="10">
        <v>148</v>
      </c>
      <c r="Y45" s="10">
        <v>0</v>
      </c>
      <c r="Z45" s="10">
        <v>0</v>
      </c>
    </row>
  </sheetData>
  <conditionalFormatting sqref="C27:I34">
    <cfRule type="colorScale" priority="2">
      <colorScale>
        <cfvo type="min"/>
        <cfvo type="num" val="100"/>
        <cfvo type="max"/>
        <color rgb="FF5B9BD5"/>
        <color rgb="FFFFFFFF"/>
        <color rgb="FFF4B183"/>
      </colorScale>
    </cfRule>
  </conditionalFormatting>
  <conditionalFormatting sqref="C16:N23">
    <cfRule type="colorScale" priority="1">
      <colorScale>
        <cfvo type="min"/>
        <cfvo type="num" val="100"/>
        <cfvo type="max"/>
        <color rgb="FF5B9BD5"/>
        <color rgb="FFFFFFFF"/>
        <color rgb="FFF4B183"/>
      </colorScale>
    </cfRule>
  </conditionalFormatting>
  <conditionalFormatting sqref="C38:Z45">
    <cfRule type="colorScale" priority="3">
      <colorScale>
        <cfvo type="min"/>
        <cfvo type="num" val="100"/>
        <cfvo type="max"/>
        <color rgb="FF5B9BD5"/>
        <color rgb="FFFFFFFF"/>
        <color rgb="FFF4B183"/>
      </colorScale>
    </cfRule>
  </conditionalFormatting>
  <pageMargins left="0.7" right="0.7" top="0.75" bottom="0.75" header="0.3" footer="0.3"/>
  <headerFooter>
    <oddFooter>&amp;L_x000D_&amp;1#&amp;"Aptos"&amp;10&amp;K008000 Interne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M77"/>
  <sheetViews>
    <sheetView showGridLines="0" workbookViewId="0">
      <selection activeCell="E9" sqref="E9:F9"/>
    </sheetView>
  </sheetViews>
  <sheetFormatPr baseColWidth="10" defaultColWidth="9.140625" defaultRowHeight="15" x14ac:dyDescent="0.25"/>
  <cols>
    <col min="1" max="1" width="2.7109375" customWidth="1"/>
    <col min="2" max="2" width="44.7109375" customWidth="1"/>
    <col min="3" max="3" width="12.7109375" customWidth="1"/>
    <col min="4" max="13" width="34.7109375" customWidth="1"/>
  </cols>
  <sheetData>
    <row r="2" spans="2:8" ht="23.25" x14ac:dyDescent="0.25">
      <c r="B2" s="1" t="s">
        <v>130</v>
      </c>
    </row>
    <row r="4" spans="2:8" ht="17.25" x14ac:dyDescent="0.25">
      <c r="B4" s="3" t="s">
        <v>131</v>
      </c>
    </row>
    <row r="5" spans="2:8" x14ac:dyDescent="0.25">
      <c r="B5" s="2" t="s">
        <v>132</v>
      </c>
    </row>
    <row r="6" spans="2:8" ht="48" customHeight="1" x14ac:dyDescent="0.25">
      <c r="B6" s="4" t="s">
        <v>14</v>
      </c>
      <c r="C6" s="4" t="s">
        <v>15</v>
      </c>
      <c r="D6" s="4" t="s">
        <v>133</v>
      </c>
      <c r="E6" s="4" t="s">
        <v>134</v>
      </c>
      <c r="F6" s="4" t="s">
        <v>135</v>
      </c>
      <c r="G6" s="4" t="s">
        <v>136</v>
      </c>
      <c r="H6" s="4" t="s">
        <v>22</v>
      </c>
    </row>
    <row r="7" spans="2:8" x14ac:dyDescent="0.25">
      <c r="B7" s="5" t="s">
        <v>24</v>
      </c>
      <c r="C7" s="6" t="s">
        <v>25</v>
      </c>
      <c r="D7" s="8">
        <v>3.2900268050184631E-2</v>
      </c>
      <c r="E7" s="16">
        <v>2.2416820141768741E-3</v>
      </c>
      <c r="F7" s="16">
        <v>0.88041364770271846</v>
      </c>
      <c r="G7" s="7">
        <v>0.22296515206468381</v>
      </c>
      <c r="H7" s="6" t="s">
        <v>29</v>
      </c>
    </row>
    <row r="8" spans="2:8" x14ac:dyDescent="0.25">
      <c r="B8" s="5" t="s">
        <v>31</v>
      </c>
      <c r="C8" s="6" t="s">
        <v>32</v>
      </c>
      <c r="D8" s="8">
        <v>6.8628692278239964E-3</v>
      </c>
      <c r="E8" s="16">
        <v>0.53543157526893015</v>
      </c>
      <c r="F8" s="16">
        <v>2.3879634544369199E-2</v>
      </c>
      <c r="G8" s="7">
        <v>0.30708441569724509</v>
      </c>
      <c r="H8" s="6" t="s">
        <v>35</v>
      </c>
    </row>
    <row r="9" spans="2:8" x14ac:dyDescent="0.25">
      <c r="B9" s="5" t="s">
        <v>36</v>
      </c>
      <c r="C9" s="6" t="s">
        <v>37</v>
      </c>
      <c r="D9" s="8">
        <v>-8.5416010680138793E-2</v>
      </c>
      <c r="E9" s="16">
        <v>2.7013948271345909E-12</v>
      </c>
      <c r="F9" s="16">
        <v>7.4505347068125954E-3</v>
      </c>
      <c r="G9" s="7">
        <v>0.68129451723615131</v>
      </c>
      <c r="H9" s="6" t="s">
        <v>41</v>
      </c>
    </row>
    <row r="10" spans="2:8" x14ac:dyDescent="0.25">
      <c r="B10" s="5" t="s">
        <v>43</v>
      </c>
      <c r="C10" s="6" t="s">
        <v>44</v>
      </c>
      <c r="D10" s="8">
        <v>1.405254207687595E-2</v>
      </c>
      <c r="E10" s="16">
        <v>0.35959679018348772</v>
      </c>
      <c r="F10" s="16">
        <v>1.3131041831745719E-10</v>
      </c>
      <c r="G10" s="7">
        <v>0.68788976036345484</v>
      </c>
      <c r="H10" s="6" t="s">
        <v>35</v>
      </c>
    </row>
    <row r="11" spans="2:8" x14ac:dyDescent="0.25">
      <c r="B11" s="5" t="s">
        <v>46</v>
      </c>
      <c r="C11" s="6" t="s">
        <v>47</v>
      </c>
      <c r="D11" s="8">
        <v>-5.4246939428318167E-2</v>
      </c>
      <c r="E11" s="16">
        <v>9.5548071445524779E-3</v>
      </c>
      <c r="F11" s="16">
        <v>0.75870242916297759</v>
      </c>
      <c r="G11" s="7">
        <v>0.2082728222393401</v>
      </c>
      <c r="H11" s="6" t="s">
        <v>29</v>
      </c>
    </row>
    <row r="12" spans="2:8" x14ac:dyDescent="0.25">
      <c r="B12" s="5" t="s">
        <v>50</v>
      </c>
      <c r="C12" s="6" t="s">
        <v>51</v>
      </c>
      <c r="D12" s="8">
        <v>1.0024036699235879E-2</v>
      </c>
      <c r="E12" s="16">
        <v>0.74342036035006154</v>
      </c>
      <c r="F12" s="16">
        <v>0.65925704840874289</v>
      </c>
      <c r="G12" s="7">
        <v>0.13340184654099191</v>
      </c>
      <c r="H12" s="6" t="s">
        <v>54</v>
      </c>
    </row>
    <row r="13" spans="2:8" x14ac:dyDescent="0.25">
      <c r="B13" s="5" t="s">
        <v>56</v>
      </c>
      <c r="C13" s="6" t="s">
        <v>57</v>
      </c>
      <c r="D13" s="8">
        <v>0.14471754690738001</v>
      </c>
      <c r="E13" s="16">
        <v>2.0010966379468819E-9</v>
      </c>
      <c r="F13" s="16">
        <v>5.9872101692076043E-8</v>
      </c>
      <c r="G13" s="7">
        <v>0.69300433308144926</v>
      </c>
      <c r="H13" s="6" t="s">
        <v>41</v>
      </c>
    </row>
    <row r="14" spans="2:8" x14ac:dyDescent="0.25">
      <c r="B14" s="5" t="s">
        <v>60</v>
      </c>
      <c r="C14" s="6" t="s">
        <v>61</v>
      </c>
      <c r="D14" s="8">
        <v>7.8410357729171959E-2</v>
      </c>
      <c r="E14" s="16">
        <v>1.8611971625764798E-5</v>
      </c>
      <c r="F14" s="16">
        <v>1.5353490212195779E-16</v>
      </c>
      <c r="G14" s="7">
        <v>0.82752226606000745</v>
      </c>
      <c r="H14" s="6" t="s">
        <v>41</v>
      </c>
    </row>
    <row r="16" spans="2:8" ht="17.25" x14ac:dyDescent="0.25">
      <c r="B16" s="3" t="s">
        <v>137</v>
      </c>
    </row>
    <row r="17" spans="2:13" ht="48" customHeight="1" x14ac:dyDescent="0.25">
      <c r="B17" s="4" t="s">
        <v>14</v>
      </c>
      <c r="C17" s="4" t="s">
        <v>15</v>
      </c>
      <c r="D17" s="4" t="s">
        <v>138</v>
      </c>
      <c r="E17" s="4" t="s">
        <v>139</v>
      </c>
      <c r="F17" s="4" t="s">
        <v>140</v>
      </c>
      <c r="G17" s="4" t="s">
        <v>141</v>
      </c>
      <c r="H17" s="4" t="s">
        <v>142</v>
      </c>
      <c r="I17" s="4" t="s">
        <v>143</v>
      </c>
      <c r="J17" s="4" t="s">
        <v>144</v>
      </c>
      <c r="K17" s="4" t="s">
        <v>145</v>
      </c>
      <c r="L17" s="4" t="s">
        <v>146</v>
      </c>
      <c r="M17" s="4" t="s">
        <v>23</v>
      </c>
    </row>
    <row r="18" spans="2:13" x14ac:dyDescent="0.25">
      <c r="B18" s="5" t="s">
        <v>24</v>
      </c>
      <c r="C18" s="6" t="s">
        <v>25</v>
      </c>
      <c r="D18" s="6" t="s">
        <v>35</v>
      </c>
      <c r="E18" s="7">
        <v>8.5043545990733688E-2</v>
      </c>
      <c r="F18" s="6" t="s">
        <v>147</v>
      </c>
      <c r="G18" s="7">
        <v>7.7427846180540202E-2</v>
      </c>
      <c r="H18" s="6" t="s">
        <v>148</v>
      </c>
      <c r="I18" s="7">
        <v>0.10039915249529829</v>
      </c>
      <c r="J18" s="8">
        <v>0.2287998030245707</v>
      </c>
      <c r="K18" s="6" t="s">
        <v>147</v>
      </c>
      <c r="L18" s="7">
        <v>7.7427846180540202E-2</v>
      </c>
      <c r="M18" s="6" t="s">
        <v>30</v>
      </c>
    </row>
    <row r="19" spans="2:13" x14ac:dyDescent="0.25">
      <c r="B19" s="5" t="s">
        <v>31</v>
      </c>
      <c r="C19" s="6" t="s">
        <v>32</v>
      </c>
      <c r="D19" s="6" t="s">
        <v>35</v>
      </c>
      <c r="E19" s="7">
        <v>0.1255740975210507</v>
      </c>
      <c r="F19" s="6" t="s">
        <v>149</v>
      </c>
      <c r="G19" s="7">
        <v>0.1325914544234007</v>
      </c>
      <c r="H19" s="6" t="s">
        <v>150</v>
      </c>
      <c r="I19" s="7">
        <v>0.142621072226227</v>
      </c>
      <c r="J19" s="8">
        <v>0.1195263395449464</v>
      </c>
      <c r="K19" s="6" t="s">
        <v>35</v>
      </c>
      <c r="L19" s="7">
        <v>0.1255740975210507</v>
      </c>
      <c r="M19" s="6" t="s">
        <v>30</v>
      </c>
    </row>
    <row r="20" spans="2:13" x14ac:dyDescent="0.25">
      <c r="B20" s="5" t="s">
        <v>36</v>
      </c>
      <c r="C20" s="6" t="s">
        <v>37</v>
      </c>
      <c r="D20" s="6" t="s">
        <v>29</v>
      </c>
      <c r="E20" s="7">
        <v>0.1170635640512388</v>
      </c>
      <c r="F20" s="6" t="s">
        <v>149</v>
      </c>
      <c r="G20" s="7">
        <v>0.1076859766810444</v>
      </c>
      <c r="H20" s="6" t="s">
        <v>148</v>
      </c>
      <c r="I20" s="7">
        <v>0.10276063795717059</v>
      </c>
      <c r="J20" s="8">
        <v>-4.7930207731160752E-2</v>
      </c>
      <c r="K20" s="6" t="s">
        <v>148</v>
      </c>
      <c r="L20" s="7">
        <v>0.10276063795717059</v>
      </c>
      <c r="M20" s="6" t="s">
        <v>42</v>
      </c>
    </row>
    <row r="21" spans="2:13" x14ac:dyDescent="0.25">
      <c r="B21" s="5" t="s">
        <v>43</v>
      </c>
      <c r="C21" s="6" t="s">
        <v>44</v>
      </c>
      <c r="D21" s="6" t="s">
        <v>35</v>
      </c>
      <c r="E21" s="7">
        <v>0.1211971727115085</v>
      </c>
      <c r="F21" s="6" t="s">
        <v>149</v>
      </c>
      <c r="G21" s="7">
        <v>0.14611828380625561</v>
      </c>
      <c r="H21" s="6" t="s">
        <v>148</v>
      </c>
      <c r="I21" s="7">
        <v>0.22756714634738121</v>
      </c>
      <c r="J21" s="8">
        <v>0.46742236453367031</v>
      </c>
      <c r="K21" s="6" t="s">
        <v>35</v>
      </c>
      <c r="L21" s="7">
        <v>0.1211971727115085</v>
      </c>
      <c r="M21" s="6" t="s">
        <v>30</v>
      </c>
    </row>
    <row r="22" spans="2:13" x14ac:dyDescent="0.25">
      <c r="B22" s="5" t="s">
        <v>46</v>
      </c>
      <c r="C22" s="6" t="s">
        <v>47</v>
      </c>
      <c r="D22" s="6" t="s">
        <v>35</v>
      </c>
      <c r="E22" s="7">
        <v>0.2044685556537941</v>
      </c>
      <c r="F22" s="6" t="s">
        <v>147</v>
      </c>
      <c r="G22" s="7">
        <v>0.1250300605453277</v>
      </c>
      <c r="H22" s="6" t="s">
        <v>148</v>
      </c>
      <c r="I22" s="7">
        <v>0.14464234869815559</v>
      </c>
      <c r="J22" s="8">
        <v>0.1355916045981487</v>
      </c>
      <c r="K22" s="6" t="s">
        <v>147</v>
      </c>
      <c r="L22" s="7">
        <v>0.1250300605453277</v>
      </c>
      <c r="M22" s="6" t="s">
        <v>30</v>
      </c>
    </row>
    <row r="23" spans="2:13" x14ac:dyDescent="0.25">
      <c r="B23" s="5" t="s">
        <v>50</v>
      </c>
      <c r="C23" s="6" t="s">
        <v>51</v>
      </c>
      <c r="D23" s="6" t="s">
        <v>29</v>
      </c>
      <c r="E23" s="7">
        <v>0.307288611832576</v>
      </c>
      <c r="F23" s="6" t="s">
        <v>147</v>
      </c>
      <c r="G23" s="7">
        <v>0.26844665607153012</v>
      </c>
      <c r="H23" s="6" t="s">
        <v>148</v>
      </c>
      <c r="I23" s="7">
        <v>0.38329764453961462</v>
      </c>
      <c r="J23" s="8">
        <v>0.29963917103125959</v>
      </c>
      <c r="K23" s="6" t="s">
        <v>147</v>
      </c>
      <c r="L23" s="7">
        <v>0.26844665607153012</v>
      </c>
      <c r="M23" s="6" t="s">
        <v>55</v>
      </c>
    </row>
    <row r="24" spans="2:13" x14ac:dyDescent="0.25">
      <c r="B24" s="5" t="s">
        <v>56</v>
      </c>
      <c r="C24" s="6" t="s">
        <v>57</v>
      </c>
      <c r="D24" s="6" t="s">
        <v>41</v>
      </c>
      <c r="E24" s="7">
        <v>0.23228208186815291</v>
      </c>
      <c r="F24" s="6" t="s">
        <v>147</v>
      </c>
      <c r="G24" s="7">
        <v>0.2376120705059945</v>
      </c>
      <c r="H24" s="6" t="s">
        <v>148</v>
      </c>
      <c r="I24" s="7">
        <v>0.24823628638870401</v>
      </c>
      <c r="J24" s="8">
        <v>6.427023523695885E-2</v>
      </c>
      <c r="K24" s="6" t="s">
        <v>148</v>
      </c>
      <c r="L24" s="7">
        <v>0.24823628638870401</v>
      </c>
      <c r="M24" s="6" t="s">
        <v>55</v>
      </c>
    </row>
    <row r="25" spans="2:13" x14ac:dyDescent="0.25">
      <c r="B25" s="5" t="s">
        <v>60</v>
      </c>
      <c r="C25" s="6" t="s">
        <v>61</v>
      </c>
      <c r="D25" s="6" t="s">
        <v>41</v>
      </c>
      <c r="E25" s="7">
        <v>0.1989537235620823</v>
      </c>
      <c r="F25" s="6" t="s">
        <v>151</v>
      </c>
      <c r="G25" s="7">
        <v>0.20225410256363541</v>
      </c>
      <c r="H25" s="6" t="s">
        <v>150</v>
      </c>
      <c r="I25" s="7">
        <v>0.26519947125134452</v>
      </c>
      <c r="J25" s="8">
        <v>0.24979592672896911</v>
      </c>
      <c r="K25" s="6" t="s">
        <v>41</v>
      </c>
      <c r="L25" s="7">
        <v>0.1989537235620823</v>
      </c>
      <c r="M25" s="6" t="s">
        <v>30</v>
      </c>
    </row>
    <row r="26" spans="2:13" x14ac:dyDescent="0.25">
      <c r="B26" s="2" t="s">
        <v>152</v>
      </c>
    </row>
    <row r="28" spans="2:13" ht="17.25" x14ac:dyDescent="0.25">
      <c r="B28" s="3" t="s">
        <v>153</v>
      </c>
    </row>
    <row r="29" spans="2:13" ht="48" customHeight="1" x14ac:dyDescent="0.25">
      <c r="B29" s="4" t="s">
        <v>14</v>
      </c>
      <c r="C29" s="4" t="s">
        <v>15</v>
      </c>
      <c r="D29" s="4" t="s">
        <v>29</v>
      </c>
      <c r="E29" s="4" t="s">
        <v>35</v>
      </c>
      <c r="F29" s="4" t="s">
        <v>41</v>
      </c>
      <c r="G29" s="4" t="s">
        <v>147</v>
      </c>
      <c r="H29" s="4" t="s">
        <v>154</v>
      </c>
      <c r="I29" s="4" t="s">
        <v>149</v>
      </c>
      <c r="J29" s="4" t="s">
        <v>151</v>
      </c>
      <c r="K29" s="4" t="s">
        <v>150</v>
      </c>
      <c r="L29" s="4" t="s">
        <v>148</v>
      </c>
    </row>
    <row r="30" spans="2:13" x14ac:dyDescent="0.25">
      <c r="B30" s="5" t="s">
        <v>24</v>
      </c>
      <c r="C30" s="6" t="s">
        <v>25</v>
      </c>
      <c r="D30" s="7">
        <v>0.1066574334813271</v>
      </c>
      <c r="E30" s="7">
        <v>8.5043545990733688E-2</v>
      </c>
      <c r="F30" s="7">
        <v>0.1051443212508664</v>
      </c>
      <c r="G30" s="7">
        <v>7.7427846180540202E-2</v>
      </c>
      <c r="H30" s="7">
        <v>7.8163375634612467E-2</v>
      </c>
      <c r="I30" s="7">
        <v>7.8980265896348517E-2</v>
      </c>
      <c r="J30" s="7">
        <v>7.9993030878797167E-2</v>
      </c>
      <c r="K30" s="7">
        <v>0.1026969024462308</v>
      </c>
      <c r="L30" s="7">
        <v>0.10039915249529829</v>
      </c>
    </row>
    <row r="31" spans="2:13" x14ac:dyDescent="0.25">
      <c r="B31" s="5" t="s">
        <v>31</v>
      </c>
      <c r="C31" s="6" t="s">
        <v>32</v>
      </c>
      <c r="D31" s="7">
        <v>0.16516613825840351</v>
      </c>
      <c r="E31" s="7">
        <v>0.1255740975210507</v>
      </c>
      <c r="F31" s="7">
        <v>0.1539654257051967</v>
      </c>
      <c r="G31" s="7">
        <v>0.15274939710793489</v>
      </c>
      <c r="H31" s="7">
        <v>0.15614837107762911</v>
      </c>
      <c r="I31" s="7">
        <v>0.1325914544234007</v>
      </c>
      <c r="J31" s="7">
        <v>0.14198177319934141</v>
      </c>
      <c r="K31" s="7">
        <v>0.142621072226227</v>
      </c>
      <c r="L31" s="7">
        <v>0.15970924599850159</v>
      </c>
    </row>
    <row r="32" spans="2:13" x14ac:dyDescent="0.25">
      <c r="B32" s="5" t="s">
        <v>36</v>
      </c>
      <c r="C32" s="6" t="s">
        <v>37</v>
      </c>
      <c r="D32" s="7">
        <v>0.1170635640512388</v>
      </c>
      <c r="E32" s="7">
        <v>0.29908806787908981</v>
      </c>
      <c r="F32" s="7">
        <v>0.12610634503703719</v>
      </c>
      <c r="G32" s="7">
        <v>0.1154444149956157</v>
      </c>
      <c r="H32" s="7">
        <v>0.1236065443464642</v>
      </c>
      <c r="I32" s="7">
        <v>0.1076859766810444</v>
      </c>
      <c r="J32" s="7">
        <v>0.1158925249144131</v>
      </c>
      <c r="K32" s="7">
        <v>0.1483445424203087</v>
      </c>
      <c r="L32" s="7">
        <v>0.10276063795717059</v>
      </c>
    </row>
    <row r="33" spans="2:12" x14ac:dyDescent="0.25">
      <c r="B33" s="5" t="s">
        <v>43</v>
      </c>
      <c r="C33" s="6" t="s">
        <v>44</v>
      </c>
      <c r="D33" s="7">
        <v>0.27899063570620608</v>
      </c>
      <c r="E33" s="7">
        <v>0.1211971727115085</v>
      </c>
      <c r="F33" s="7">
        <v>0.14004800643737439</v>
      </c>
      <c r="G33" s="7">
        <v>0.2366866055554791</v>
      </c>
      <c r="H33" s="7">
        <v>0.23770592214362471</v>
      </c>
      <c r="I33" s="7">
        <v>0.14611828380625561</v>
      </c>
      <c r="J33" s="7">
        <v>0.14727204781440451</v>
      </c>
      <c r="K33" s="7">
        <v>0.23303442095626131</v>
      </c>
      <c r="L33" s="7">
        <v>0.22756714634738121</v>
      </c>
    </row>
    <row r="34" spans="2:12" x14ac:dyDescent="0.25">
      <c r="B34" s="5" t="s">
        <v>46</v>
      </c>
      <c r="C34" s="6" t="s">
        <v>47</v>
      </c>
      <c r="D34" s="7">
        <v>0.2200358361765781</v>
      </c>
      <c r="E34" s="7">
        <v>0.2044685556537941</v>
      </c>
      <c r="F34" s="7">
        <v>0.26484391028478471</v>
      </c>
      <c r="G34" s="7">
        <v>0.1250300605453277</v>
      </c>
      <c r="H34" s="7">
        <v>0.12702671665069731</v>
      </c>
      <c r="I34" s="7">
        <v>0.17194606475460431</v>
      </c>
      <c r="J34" s="7">
        <v>0.17456621766968761</v>
      </c>
      <c r="K34" s="7">
        <v>0.2221189640086684</v>
      </c>
      <c r="L34" s="7">
        <v>0.14464234869815559</v>
      </c>
    </row>
    <row r="35" spans="2:12" x14ac:dyDescent="0.25">
      <c r="B35" s="5" t="s">
        <v>50</v>
      </c>
      <c r="C35" s="6" t="s">
        <v>51</v>
      </c>
      <c r="D35" s="7">
        <v>0.307288611832576</v>
      </c>
      <c r="E35" s="7">
        <v>0.36832188830638218</v>
      </c>
      <c r="F35" s="7">
        <v>0.39311048721980879</v>
      </c>
      <c r="G35" s="7">
        <v>0.26844665607153012</v>
      </c>
      <c r="H35" s="7">
        <v>0.27623917541967219</v>
      </c>
      <c r="I35" s="7">
        <v>0.34369174262669278</v>
      </c>
      <c r="J35" s="7">
        <v>0.36971992368560541</v>
      </c>
      <c r="K35" s="7">
        <v>0.53104925053533192</v>
      </c>
      <c r="L35" s="7">
        <v>0.38329764453961462</v>
      </c>
    </row>
    <row r="36" spans="2:12" x14ac:dyDescent="0.25">
      <c r="B36" s="5" t="s">
        <v>56</v>
      </c>
      <c r="C36" s="6" t="s">
        <v>57</v>
      </c>
      <c r="D36" s="7">
        <v>0.32870349936169951</v>
      </c>
      <c r="E36" s="7">
        <v>0.34289660010682532</v>
      </c>
      <c r="F36" s="7">
        <v>0.23228208186815291</v>
      </c>
      <c r="G36" s="7">
        <v>0.2376120705059945</v>
      </c>
      <c r="H36" s="7">
        <v>0.23894117030398559</v>
      </c>
      <c r="I36" s="7">
        <v>0.24640316686069361</v>
      </c>
      <c r="J36" s="7">
        <v>0.25013495420238319</v>
      </c>
      <c r="K36" s="7">
        <v>0.30533725357310743</v>
      </c>
      <c r="L36" s="7">
        <v>0.24823628638870401</v>
      </c>
    </row>
    <row r="37" spans="2:12" x14ac:dyDescent="0.25">
      <c r="B37" s="5" t="s">
        <v>60</v>
      </c>
      <c r="C37" s="6" t="s">
        <v>61</v>
      </c>
      <c r="D37" s="7">
        <v>0.39831405662598152</v>
      </c>
      <c r="E37" s="7">
        <v>0.2353081356683662</v>
      </c>
      <c r="F37" s="7">
        <v>0.1989537235620823</v>
      </c>
      <c r="G37" s="7">
        <v>0.28860613188346618</v>
      </c>
      <c r="H37" s="7">
        <v>0.29093034079322222</v>
      </c>
      <c r="I37" s="7">
        <v>0.2036564645565726</v>
      </c>
      <c r="J37" s="7">
        <v>0.20225410256363541</v>
      </c>
      <c r="K37" s="7">
        <v>0.26519947125134452</v>
      </c>
      <c r="L37" s="7">
        <v>0.28992503920457813</v>
      </c>
    </row>
    <row r="39" spans="2:12" ht="17.25" x14ac:dyDescent="0.25">
      <c r="B39" s="3" t="s">
        <v>155</v>
      </c>
    </row>
    <row r="40" spans="2:12" ht="32.1" customHeight="1" x14ac:dyDescent="0.25">
      <c r="B40" s="4" t="s">
        <v>14</v>
      </c>
      <c r="C40" s="4" t="s">
        <v>15</v>
      </c>
      <c r="D40" s="4" t="s">
        <v>156</v>
      </c>
      <c r="E40" s="4" t="s">
        <v>157</v>
      </c>
      <c r="F40" s="4" t="s">
        <v>158</v>
      </c>
      <c r="G40" s="4" t="s">
        <v>159</v>
      </c>
      <c r="H40" s="4" t="s">
        <v>160</v>
      </c>
      <c r="I40" s="4" t="s">
        <v>23</v>
      </c>
    </row>
    <row r="41" spans="2:12" x14ac:dyDescent="0.25">
      <c r="B41" s="5" t="s">
        <v>24</v>
      </c>
      <c r="C41" s="6" t="s">
        <v>25</v>
      </c>
      <c r="D41" s="14">
        <v>171.5183856139694</v>
      </c>
      <c r="E41" s="14">
        <v>159.25074090231709</v>
      </c>
      <c r="F41" s="14">
        <v>193.5555353412972</v>
      </c>
      <c r="G41" s="14">
        <v>144.71</v>
      </c>
      <c r="H41" s="6" t="s">
        <v>147</v>
      </c>
      <c r="I41" s="6" t="s">
        <v>30</v>
      </c>
    </row>
    <row r="42" spans="2:12" x14ac:dyDescent="0.25">
      <c r="B42" s="5" t="s">
        <v>31</v>
      </c>
      <c r="C42" s="6" t="s">
        <v>32</v>
      </c>
      <c r="D42" s="14">
        <v>120.3442</v>
      </c>
      <c r="E42" s="14">
        <v>99.48867999999996</v>
      </c>
      <c r="F42" s="14">
        <v>133.599813275862</v>
      </c>
      <c r="G42" s="14">
        <v>129.4</v>
      </c>
      <c r="H42" s="6" t="s">
        <v>35</v>
      </c>
      <c r="I42" s="6" t="s">
        <v>30</v>
      </c>
    </row>
    <row r="43" spans="2:12" x14ac:dyDescent="0.25">
      <c r="B43" s="5" t="s">
        <v>36</v>
      </c>
      <c r="C43" s="6" t="s">
        <v>37</v>
      </c>
      <c r="D43" s="14">
        <v>93.5</v>
      </c>
      <c r="E43" s="14">
        <v>83.064999999999998</v>
      </c>
      <c r="F43" s="14">
        <v>107.58499999999999</v>
      </c>
      <c r="G43" s="14">
        <v>76.05</v>
      </c>
      <c r="H43" s="6" t="s">
        <v>148</v>
      </c>
      <c r="I43" s="6" t="s">
        <v>42</v>
      </c>
    </row>
    <row r="44" spans="2:12" x14ac:dyDescent="0.25">
      <c r="B44" s="5" t="s">
        <v>43</v>
      </c>
      <c r="C44" s="6" t="s">
        <v>44</v>
      </c>
      <c r="D44" s="14">
        <v>1315.1333333340001</v>
      </c>
      <c r="E44" s="14">
        <v>1160.432384443933</v>
      </c>
      <c r="F44" s="14">
        <v>1433.369783334</v>
      </c>
      <c r="G44" s="14">
        <v>1129.2750000000001</v>
      </c>
      <c r="H44" s="6" t="s">
        <v>35</v>
      </c>
      <c r="I44" s="6" t="s">
        <v>30</v>
      </c>
    </row>
    <row r="45" spans="2:12" x14ac:dyDescent="0.25">
      <c r="B45" s="5" t="s">
        <v>46</v>
      </c>
      <c r="C45" s="6" t="s">
        <v>47</v>
      </c>
      <c r="D45" s="14">
        <v>235.39333335727451</v>
      </c>
      <c r="E45" s="14">
        <v>177.49733330327271</v>
      </c>
      <c r="F45" s="14">
        <v>285.36999937814471</v>
      </c>
      <c r="G45" s="14">
        <v>287</v>
      </c>
      <c r="H45" s="6" t="s">
        <v>147</v>
      </c>
      <c r="I45" s="6" t="s">
        <v>30</v>
      </c>
    </row>
    <row r="46" spans="2:12" x14ac:dyDescent="0.25">
      <c r="B46" s="5" t="s">
        <v>50</v>
      </c>
      <c r="C46" s="6" t="s">
        <v>51</v>
      </c>
      <c r="D46" s="14">
        <v>21.578279192420609</v>
      </c>
      <c r="E46" s="14">
        <v>15.663967144209821</v>
      </c>
      <c r="F46" s="14">
        <v>28.75187706972844</v>
      </c>
      <c r="G46" s="14">
        <v>25</v>
      </c>
      <c r="H46" s="6" t="s">
        <v>147</v>
      </c>
      <c r="I46" s="6" t="s">
        <v>55</v>
      </c>
    </row>
    <row r="47" spans="2:12" x14ac:dyDescent="0.25">
      <c r="B47" s="5" t="s">
        <v>56</v>
      </c>
      <c r="C47" s="6" t="s">
        <v>57</v>
      </c>
      <c r="D47" s="14">
        <v>121.416666667</v>
      </c>
      <c r="E47" s="14">
        <v>56.616666666999997</v>
      </c>
      <c r="F47" s="14">
        <v>206.80416666799999</v>
      </c>
      <c r="G47" s="14">
        <v>327</v>
      </c>
      <c r="H47" s="6" t="s">
        <v>148</v>
      </c>
      <c r="I47" s="6" t="s">
        <v>55</v>
      </c>
    </row>
    <row r="48" spans="2:12" x14ac:dyDescent="0.25">
      <c r="B48" s="5" t="s">
        <v>60</v>
      </c>
      <c r="C48" s="6" t="s">
        <v>61</v>
      </c>
      <c r="D48" s="14">
        <v>83.064540952381719</v>
      </c>
      <c r="E48" s="14">
        <v>58.758223692219218</v>
      </c>
      <c r="F48" s="14">
        <v>128.22754844970191</v>
      </c>
      <c r="G48" s="14">
        <v>76.900000000000006</v>
      </c>
      <c r="H48" s="6" t="s">
        <v>41</v>
      </c>
      <c r="I48" s="6" t="s">
        <v>30</v>
      </c>
    </row>
    <row r="49" spans="2:9" x14ac:dyDescent="0.25">
      <c r="B49" s="2" t="s">
        <v>161</v>
      </c>
    </row>
    <row r="51" spans="2:9" x14ac:dyDescent="0.25">
      <c r="B51" s="24" t="s">
        <v>162</v>
      </c>
      <c r="C51" s="24"/>
      <c r="D51" s="24"/>
      <c r="E51" s="24"/>
      <c r="F51" s="24"/>
      <c r="G51" s="24"/>
      <c r="H51" s="24"/>
      <c r="I51" s="24"/>
    </row>
    <row r="52" spans="2:9" x14ac:dyDescent="0.25">
      <c r="B52" s="24"/>
      <c r="C52" s="24"/>
      <c r="D52" s="24"/>
      <c r="E52" s="24"/>
      <c r="F52" s="24"/>
      <c r="G52" s="24"/>
      <c r="H52" s="24"/>
      <c r="I52" s="24"/>
    </row>
    <row r="53" spans="2:9" x14ac:dyDescent="0.25">
      <c r="B53" s="24"/>
      <c r="C53" s="24"/>
      <c r="D53" s="24"/>
      <c r="E53" s="24"/>
      <c r="F53" s="24"/>
      <c r="G53" s="24"/>
      <c r="H53" s="24"/>
      <c r="I53" s="24"/>
    </row>
    <row r="54" spans="2:9" x14ac:dyDescent="0.25">
      <c r="B54" s="24"/>
      <c r="C54" s="24"/>
      <c r="D54" s="24"/>
      <c r="E54" s="24"/>
      <c r="F54" s="24"/>
      <c r="G54" s="24"/>
      <c r="H54" s="24"/>
      <c r="I54" s="24"/>
    </row>
    <row r="55" spans="2:9" x14ac:dyDescent="0.25">
      <c r="B55" s="24"/>
      <c r="C55" s="24"/>
      <c r="D55" s="24"/>
      <c r="E55" s="24"/>
      <c r="F55" s="24"/>
      <c r="G55" s="24"/>
      <c r="H55" s="24"/>
      <c r="I55" s="24"/>
    </row>
    <row r="56" spans="2:9" x14ac:dyDescent="0.25">
      <c r="B56" s="24"/>
      <c r="C56" s="24"/>
      <c r="D56" s="24"/>
      <c r="E56" s="24"/>
      <c r="F56" s="24"/>
      <c r="G56" s="24"/>
      <c r="H56" s="24"/>
      <c r="I56" s="24"/>
    </row>
    <row r="57" spans="2:9" x14ac:dyDescent="0.25">
      <c r="B57" s="24"/>
      <c r="C57" s="24"/>
      <c r="D57" s="24"/>
      <c r="E57" s="24"/>
      <c r="F57" s="24"/>
      <c r="G57" s="24"/>
      <c r="H57" s="24"/>
      <c r="I57" s="24"/>
    </row>
    <row r="77" spans="2:2" ht="17.25" x14ac:dyDescent="0.25">
      <c r="B77" s="3" t="s">
        <v>163</v>
      </c>
    </row>
  </sheetData>
  <mergeCells count="1">
    <mergeCell ref="B51:I57"/>
  </mergeCells>
  <conditionalFormatting sqref="D30:L30">
    <cfRule type="top10" dxfId="12" priority="5" bottom="1" rank="1"/>
  </conditionalFormatting>
  <conditionalFormatting sqref="D31:L31">
    <cfRule type="top10" dxfId="11" priority="6" bottom="1" rank="1"/>
  </conditionalFormatting>
  <conditionalFormatting sqref="D32:L32">
    <cfRule type="top10" dxfId="10" priority="7" bottom="1" rank="1"/>
  </conditionalFormatting>
  <conditionalFormatting sqref="D33:L33">
    <cfRule type="top10" dxfId="9" priority="8" bottom="1" rank="1"/>
  </conditionalFormatting>
  <conditionalFormatting sqref="D34:L34">
    <cfRule type="top10" dxfId="8" priority="9" bottom="1" rank="1"/>
  </conditionalFormatting>
  <conditionalFormatting sqref="D35:L35">
    <cfRule type="top10" dxfId="7" priority="10" bottom="1" rank="1"/>
  </conditionalFormatting>
  <conditionalFormatting sqref="D36:L36">
    <cfRule type="top10" dxfId="6" priority="11" bottom="1" rank="1"/>
  </conditionalFormatting>
  <conditionalFormatting sqref="D37:L37">
    <cfRule type="top10" dxfId="5" priority="12" bottom="1" rank="1"/>
  </conditionalFormatting>
  <conditionalFormatting sqref="E7:F14">
    <cfRule type="cellIs" dxfId="4" priority="1" operator="lessThan">
      <formula>0.05</formula>
    </cfRule>
  </conditionalFormatting>
  <conditionalFormatting sqref="I41:I48">
    <cfRule type="beginsWith" dxfId="3" priority="13" operator="beginsWith" text="Oui">
      <formula>LEFT(I41,3)="Oui"</formula>
    </cfRule>
    <cfRule type="beginsWith" dxfId="2" priority="14" operator="beginsWith" text="Non">
      <formula>LEFT(I41,3)="Non"</formula>
    </cfRule>
  </conditionalFormatting>
  <conditionalFormatting sqref="M18:M25">
    <cfRule type="beginsWith" dxfId="1" priority="3" operator="beginsWith" text="Oui">
      <formula>LEFT(M18,3)="Oui"</formula>
    </cfRule>
    <cfRule type="beginsWith" dxfId="0" priority="4" operator="beginsWith" text="Non">
      <formula>LEFT(M18,3)="Non"</formula>
    </cfRule>
  </conditionalFormatting>
  <pageMargins left="0.7" right="0.7" top="0.75" bottom="0.75" header="0.3" footer="0.3"/>
  <headerFooter>
    <oddFooter>&amp;L_x000D_&amp;1#&amp;"Aptos"&amp;10&amp;K008000 Interne</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M32"/>
  <sheetViews>
    <sheetView showGridLines="0" topLeftCell="A5" workbookViewId="0">
      <selection activeCell="C32" sqref="C32"/>
    </sheetView>
  </sheetViews>
  <sheetFormatPr baseColWidth="10" defaultColWidth="9.140625" defaultRowHeight="15" x14ac:dyDescent="0.25"/>
  <cols>
    <col min="1" max="1" width="2.7109375" customWidth="1"/>
    <col min="2" max="2" width="14.7109375" customWidth="1"/>
    <col min="3" max="3" width="75.140625" customWidth="1"/>
    <col min="4" max="15" width="16.7109375" customWidth="1"/>
  </cols>
  <sheetData>
    <row r="2" spans="2:13" ht="23.25" x14ac:dyDescent="0.25">
      <c r="B2" s="1" t="s">
        <v>164</v>
      </c>
    </row>
    <row r="4" spans="2:13" ht="17.25" x14ac:dyDescent="0.25">
      <c r="B4" s="3" t="s">
        <v>165</v>
      </c>
    </row>
    <row r="5" spans="2:13" ht="32.1" customHeight="1" x14ac:dyDescent="0.25">
      <c r="B5" s="4" t="s">
        <v>166</v>
      </c>
      <c r="C5" s="4" t="s">
        <v>167</v>
      </c>
      <c r="D5" s="4" t="s">
        <v>168</v>
      </c>
      <c r="E5" s="4" t="s">
        <v>169</v>
      </c>
      <c r="F5" s="4" t="s">
        <v>170</v>
      </c>
      <c r="G5" s="4" t="s">
        <v>171</v>
      </c>
      <c r="H5" s="4" t="s">
        <v>172</v>
      </c>
      <c r="I5" s="4" t="s">
        <v>173</v>
      </c>
      <c r="J5" s="4" t="s">
        <v>174</v>
      </c>
      <c r="K5" s="4" t="s">
        <v>175</v>
      </c>
      <c r="L5" s="4" t="s">
        <v>176</v>
      </c>
      <c r="M5" s="4" t="s">
        <v>177</v>
      </c>
    </row>
    <row r="6" spans="2:13" x14ac:dyDescent="0.25">
      <c r="B6" s="5" t="s">
        <v>178</v>
      </c>
      <c r="C6" s="5">
        <v>50532</v>
      </c>
      <c r="D6" s="5">
        <v>0</v>
      </c>
      <c r="E6" s="5">
        <v>0</v>
      </c>
      <c r="F6" s="5">
        <v>0</v>
      </c>
      <c r="G6" s="17">
        <v>41641.333333333343</v>
      </c>
      <c r="H6" s="17">
        <v>43746.791666666657</v>
      </c>
      <c r="I6" s="5">
        <v>50532</v>
      </c>
      <c r="J6" s="5">
        <v>50532</v>
      </c>
      <c r="K6" s="5">
        <v>0</v>
      </c>
      <c r="L6" s="5">
        <v>0</v>
      </c>
      <c r="M6" s="5">
        <v>0</v>
      </c>
    </row>
    <row r="7" spans="2:13" x14ac:dyDescent="0.25">
      <c r="B7" s="5" t="s">
        <v>179</v>
      </c>
      <c r="C7" s="5">
        <v>2106</v>
      </c>
      <c r="D7" s="5">
        <v>0</v>
      </c>
      <c r="E7" s="5">
        <v>0</v>
      </c>
      <c r="F7" s="5">
        <v>0</v>
      </c>
      <c r="G7" s="17">
        <v>41641</v>
      </c>
      <c r="H7" s="17">
        <v>43746</v>
      </c>
      <c r="I7" s="5">
        <v>2106</v>
      </c>
      <c r="J7" s="5">
        <v>2106</v>
      </c>
      <c r="K7" s="5">
        <v>0</v>
      </c>
      <c r="L7" s="5">
        <v>0</v>
      </c>
      <c r="M7" s="5">
        <v>0</v>
      </c>
    </row>
    <row r="8" spans="2:13" x14ac:dyDescent="0.25">
      <c r="B8" s="5" t="s">
        <v>180</v>
      </c>
      <c r="C8" s="5">
        <v>302</v>
      </c>
      <c r="D8" s="5">
        <v>0</v>
      </c>
      <c r="E8" s="5">
        <v>0</v>
      </c>
      <c r="F8" s="5">
        <v>0</v>
      </c>
      <c r="G8" s="17">
        <v>41644</v>
      </c>
      <c r="H8" s="17">
        <v>43751</v>
      </c>
      <c r="I8" s="5">
        <v>302</v>
      </c>
      <c r="J8" s="5">
        <v>302</v>
      </c>
      <c r="K8" s="5">
        <v>0</v>
      </c>
      <c r="L8" s="5">
        <v>0</v>
      </c>
      <c r="M8" s="5">
        <v>0</v>
      </c>
    </row>
    <row r="9" spans="2:13" x14ac:dyDescent="0.25">
      <c r="B9" s="5" t="s">
        <v>181</v>
      </c>
      <c r="C9" s="5">
        <v>70</v>
      </c>
      <c r="D9" s="5">
        <v>0</v>
      </c>
      <c r="E9" s="5">
        <v>0</v>
      </c>
      <c r="F9" s="5">
        <v>0</v>
      </c>
      <c r="G9" s="17">
        <v>41670</v>
      </c>
      <c r="H9" s="17">
        <v>43769</v>
      </c>
      <c r="I9" s="5">
        <v>70</v>
      </c>
      <c r="J9" s="5">
        <v>70</v>
      </c>
      <c r="K9" s="5">
        <v>0</v>
      </c>
      <c r="L9" s="5">
        <v>0</v>
      </c>
      <c r="M9" s="5">
        <v>0</v>
      </c>
    </row>
    <row r="11" spans="2:13" ht="17.25" x14ac:dyDescent="0.25">
      <c r="B11" s="3" t="s">
        <v>182</v>
      </c>
    </row>
    <row r="12" spans="2:13" ht="30" x14ac:dyDescent="0.25">
      <c r="B12" s="4" t="s">
        <v>94</v>
      </c>
      <c r="C12" s="4" t="s">
        <v>14</v>
      </c>
      <c r="D12" s="4" t="s">
        <v>178</v>
      </c>
      <c r="E12" s="4" t="s">
        <v>179</v>
      </c>
      <c r="F12" s="4" t="s">
        <v>180</v>
      </c>
      <c r="G12" s="4" t="s">
        <v>181</v>
      </c>
      <c r="H12" s="4" t="s">
        <v>183</v>
      </c>
    </row>
    <row r="13" spans="2:13" x14ac:dyDescent="0.25">
      <c r="B13" s="5" t="s">
        <v>25</v>
      </c>
      <c r="C13" s="5" t="s">
        <v>24</v>
      </c>
      <c r="D13" s="14">
        <v>10724</v>
      </c>
      <c r="E13" s="14">
        <v>10724</v>
      </c>
      <c r="F13" s="14">
        <v>10724</v>
      </c>
      <c r="G13" s="14">
        <v>10824.7</v>
      </c>
      <c r="H13" s="14">
        <v>0.94</v>
      </c>
    </row>
    <row r="14" spans="2:13" x14ac:dyDescent="0.25">
      <c r="B14" s="5" t="s">
        <v>32</v>
      </c>
      <c r="C14" s="5" t="s">
        <v>31</v>
      </c>
      <c r="D14" s="14">
        <v>8330.85</v>
      </c>
      <c r="E14" s="14">
        <v>8330.85</v>
      </c>
      <c r="F14" s="14">
        <v>8330.85</v>
      </c>
      <c r="G14" s="14">
        <v>8455.0400000000009</v>
      </c>
      <c r="H14" s="14">
        <v>1.49</v>
      </c>
    </row>
    <row r="15" spans="2:13" x14ac:dyDescent="0.25">
      <c r="B15" s="5" t="s">
        <v>37</v>
      </c>
      <c r="C15" s="5" t="s">
        <v>36</v>
      </c>
      <c r="D15" s="14">
        <v>8189.66</v>
      </c>
      <c r="E15" s="14">
        <v>8189.66</v>
      </c>
      <c r="F15" s="14">
        <v>8189.66</v>
      </c>
      <c r="G15" s="14">
        <v>8286.06</v>
      </c>
      <c r="H15" s="14">
        <v>1.18</v>
      </c>
    </row>
    <row r="16" spans="2:13" x14ac:dyDescent="0.25">
      <c r="B16" s="5" t="s">
        <v>44</v>
      </c>
      <c r="C16" s="5" t="s">
        <v>43</v>
      </c>
      <c r="D16" s="14">
        <v>64151.58</v>
      </c>
      <c r="E16" s="14">
        <v>64151.58</v>
      </c>
      <c r="F16" s="14">
        <v>64151.58</v>
      </c>
      <c r="G16" s="14">
        <v>65208.01</v>
      </c>
      <c r="H16" s="14">
        <v>1.65</v>
      </c>
    </row>
    <row r="17" spans="2:8" x14ac:dyDescent="0.25">
      <c r="B17" s="5" t="s">
        <v>47</v>
      </c>
      <c r="C17" s="5" t="s">
        <v>46</v>
      </c>
      <c r="D17" s="14">
        <v>18613.009999999998</v>
      </c>
      <c r="E17" s="14">
        <v>18613.009999999998</v>
      </c>
      <c r="F17" s="14">
        <v>18613.009999999998</v>
      </c>
      <c r="G17" s="14">
        <v>18793.11</v>
      </c>
      <c r="H17" s="14">
        <v>0.97</v>
      </c>
    </row>
    <row r="18" spans="2:8" x14ac:dyDescent="0.25">
      <c r="B18" s="5" t="s">
        <v>51</v>
      </c>
      <c r="C18" s="5" t="s">
        <v>50</v>
      </c>
      <c r="D18" s="14">
        <v>1249</v>
      </c>
      <c r="E18" s="14">
        <v>1249</v>
      </c>
      <c r="F18" s="14">
        <v>1249</v>
      </c>
      <c r="G18" s="14">
        <v>1286.3800000000001</v>
      </c>
      <c r="H18" s="14">
        <v>2.99</v>
      </c>
    </row>
    <row r="19" spans="2:8" x14ac:dyDescent="0.25">
      <c r="B19" s="5" t="s">
        <v>57</v>
      </c>
      <c r="C19" s="5" t="s">
        <v>56</v>
      </c>
      <c r="D19" s="14">
        <v>11745.08</v>
      </c>
      <c r="E19" s="14">
        <v>11745.08</v>
      </c>
      <c r="F19" s="14">
        <v>11745.08</v>
      </c>
      <c r="G19" s="14">
        <v>12093.25</v>
      </c>
      <c r="H19" s="14">
        <v>2.96</v>
      </c>
    </row>
    <row r="20" spans="2:8" x14ac:dyDescent="0.25">
      <c r="B20" s="5" t="s">
        <v>61</v>
      </c>
      <c r="C20" s="5" t="s">
        <v>60</v>
      </c>
      <c r="D20" s="14">
        <v>6164.48</v>
      </c>
      <c r="E20" s="14">
        <v>6164.48</v>
      </c>
      <c r="F20" s="14">
        <v>6164.48</v>
      </c>
      <c r="G20" s="14">
        <v>6192.29</v>
      </c>
      <c r="H20" s="14">
        <v>0.45</v>
      </c>
    </row>
    <row r="21" spans="2:8" x14ac:dyDescent="0.25">
      <c r="B21" s="2" t="s">
        <v>184</v>
      </c>
    </row>
    <row r="23" spans="2:8" ht="17.25" x14ac:dyDescent="0.25">
      <c r="B23" s="3" t="s">
        <v>185</v>
      </c>
    </row>
    <row r="24" spans="2:8" x14ac:dyDescent="0.25">
      <c r="B24" s="4" t="s">
        <v>166</v>
      </c>
      <c r="C24" s="4" t="s">
        <v>186</v>
      </c>
    </row>
    <row r="25" spans="2:8" x14ac:dyDescent="0.25">
      <c r="B25" s="5" t="s">
        <v>179</v>
      </c>
      <c r="C25" s="5" t="s">
        <v>187</v>
      </c>
    </row>
    <row r="26" spans="2:8" x14ac:dyDescent="0.25">
      <c r="B26" s="5" t="s">
        <v>178</v>
      </c>
      <c r="C26" s="5" t="s">
        <v>188</v>
      </c>
    </row>
    <row r="27" spans="2:8" x14ac:dyDescent="0.25">
      <c r="B27" s="5" t="s">
        <v>180</v>
      </c>
      <c r="C27" s="5" t="s">
        <v>189</v>
      </c>
    </row>
    <row r="28" spans="2:8" x14ac:dyDescent="0.25">
      <c r="B28" s="5" t="s">
        <v>181</v>
      </c>
      <c r="C28" s="5" t="s">
        <v>190</v>
      </c>
    </row>
    <row r="30" spans="2:8" ht="17.25" x14ac:dyDescent="0.25">
      <c r="B30" s="3" t="s">
        <v>191</v>
      </c>
    </row>
    <row r="31" spans="2:8" x14ac:dyDescent="0.25">
      <c r="B31" s="4" t="s">
        <v>166</v>
      </c>
      <c r="C31" s="4" t="s">
        <v>192</v>
      </c>
    </row>
    <row r="32" spans="2:8" x14ac:dyDescent="0.25">
      <c r="B32" s="5" t="s">
        <v>179</v>
      </c>
      <c r="C32" s="5" t="s">
        <v>193</v>
      </c>
    </row>
  </sheetData>
  <pageMargins left="0.7" right="0.7" top="0.75" bottom="0.75" header="0.3" footer="0.3"/>
  <headerFooter>
    <oddFooter>&amp;L_x000D_&amp;1#&amp;"Aptos"&amp;10&amp;K008000 Interne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heetViews>
  <sheetFormatPr baseColWidth="10" defaultColWidth="9.140625" defaultRowHeight="15" x14ac:dyDescent="0.25"/>
  <cols>
    <col min="1" max="1" width="12.7109375" customWidth="1"/>
    <col min="2" max="2" width="44.7109375" customWidth="1"/>
  </cols>
  <sheetData>
    <row r="1" spans="1:2" x14ac:dyDescent="0.25">
      <c r="A1" s="4" t="s">
        <v>194</v>
      </c>
      <c r="B1" s="4" t="s">
        <v>14</v>
      </c>
    </row>
    <row r="2" spans="1:2" x14ac:dyDescent="0.25">
      <c r="A2" s="5" t="s">
        <v>25</v>
      </c>
      <c r="B2" s="5" t="s">
        <v>24</v>
      </c>
    </row>
    <row r="3" spans="1:2" x14ac:dyDescent="0.25">
      <c r="A3" s="5" t="s">
        <v>32</v>
      </c>
      <c r="B3" s="5" t="s">
        <v>31</v>
      </c>
    </row>
    <row r="4" spans="1:2" x14ac:dyDescent="0.25">
      <c r="A4" s="5" t="s">
        <v>37</v>
      </c>
      <c r="B4" s="5" t="s">
        <v>36</v>
      </c>
    </row>
    <row r="5" spans="1:2" x14ac:dyDescent="0.25">
      <c r="A5" s="5" t="s">
        <v>44</v>
      </c>
      <c r="B5" s="5" t="s">
        <v>43</v>
      </c>
    </row>
    <row r="6" spans="1:2" x14ac:dyDescent="0.25">
      <c r="A6" s="5" t="s">
        <v>47</v>
      </c>
      <c r="B6" s="5" t="s">
        <v>46</v>
      </c>
    </row>
    <row r="7" spans="1:2" x14ac:dyDescent="0.25">
      <c r="A7" s="5" t="s">
        <v>51</v>
      </c>
      <c r="B7" s="5" t="s">
        <v>50</v>
      </c>
    </row>
    <row r="8" spans="1:2" x14ac:dyDescent="0.25">
      <c r="A8" s="5" t="s">
        <v>57</v>
      </c>
      <c r="B8" s="5" t="s">
        <v>56</v>
      </c>
    </row>
    <row r="9" spans="1:2" x14ac:dyDescent="0.25">
      <c r="A9" s="5" t="s">
        <v>61</v>
      </c>
      <c r="B9" s="5" t="s">
        <v>60</v>
      </c>
    </row>
    <row r="11" spans="1:2" x14ac:dyDescent="0.25">
      <c r="A11" s="2" t="s">
        <v>195</v>
      </c>
    </row>
  </sheetData>
  <pageMargins left="0.7" right="0.7" top="0.75" bottom="0.75" header="0.3" footer="0.3"/>
  <headerFooter>
    <oddFooter>&amp;L_x000D_&amp;1#&amp;"Aptos"&amp;10&amp;K008000 Interne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0"/>
  <sheetViews>
    <sheetView workbookViewId="0"/>
  </sheetViews>
  <sheetFormatPr baseColWidth="10" defaultColWidth="9.140625" defaultRowHeight="15" x14ac:dyDescent="0.25"/>
  <cols>
    <col min="1" max="10" width="12.7109375" customWidth="1"/>
  </cols>
  <sheetData>
    <row r="1" spans="1:9" x14ac:dyDescent="0.25">
      <c r="A1" s="4" t="s">
        <v>89</v>
      </c>
      <c r="B1" s="4" t="s">
        <v>25</v>
      </c>
      <c r="C1" s="4" t="s">
        <v>32</v>
      </c>
      <c r="D1" s="4" t="s">
        <v>37</v>
      </c>
      <c r="E1" s="4" t="s">
        <v>44</v>
      </c>
      <c r="F1" s="4" t="s">
        <v>47</v>
      </c>
      <c r="G1" s="4" t="s">
        <v>51</v>
      </c>
      <c r="H1" s="4" t="s">
        <v>57</v>
      </c>
      <c r="I1" s="4" t="s">
        <v>61</v>
      </c>
    </row>
    <row r="2" spans="1:9" x14ac:dyDescent="0.25">
      <c r="A2" s="15">
        <v>41640</v>
      </c>
      <c r="B2" s="5">
        <v>132.02000000000001</v>
      </c>
      <c r="C2" s="5">
        <v>99.75</v>
      </c>
      <c r="D2" s="5">
        <v>154.6</v>
      </c>
      <c r="E2" s="5">
        <v>915.03</v>
      </c>
      <c r="F2" s="5">
        <v>360</v>
      </c>
      <c r="G2" s="5">
        <v>30</v>
      </c>
      <c r="H2" s="5">
        <v>115</v>
      </c>
      <c r="I2" s="5">
        <v>52.2</v>
      </c>
    </row>
    <row r="3" spans="1:9" x14ac:dyDescent="0.25">
      <c r="A3" s="15">
        <v>41671</v>
      </c>
      <c r="B3" s="5">
        <v>133.32</v>
      </c>
      <c r="C3" s="5">
        <v>126.05</v>
      </c>
      <c r="D3" s="5">
        <v>177</v>
      </c>
      <c r="E3" s="5">
        <v>1001.9</v>
      </c>
      <c r="F3" s="5">
        <v>347</v>
      </c>
      <c r="G3" s="5">
        <v>31</v>
      </c>
      <c r="H3" s="5">
        <v>122</v>
      </c>
      <c r="I3" s="5">
        <v>36.200000000000003</v>
      </c>
    </row>
    <row r="4" spans="1:9" x14ac:dyDescent="0.25">
      <c r="A4" s="15">
        <v>41699</v>
      </c>
      <c r="B4" s="5">
        <v>137.44</v>
      </c>
      <c r="C4" s="5">
        <v>92.95</v>
      </c>
      <c r="D4" s="5">
        <v>147.655</v>
      </c>
      <c r="E4" s="5">
        <v>779.27499999999998</v>
      </c>
      <c r="F4" s="5">
        <v>232</v>
      </c>
      <c r="G4" s="5">
        <v>20</v>
      </c>
      <c r="H4" s="5">
        <v>112</v>
      </c>
      <c r="I4" s="5">
        <v>85.4</v>
      </c>
    </row>
    <row r="5" spans="1:9" x14ac:dyDescent="0.25">
      <c r="A5" s="15">
        <v>41730</v>
      </c>
      <c r="B5" s="5">
        <v>119.44</v>
      </c>
      <c r="C5" s="5">
        <v>91.474999999999994</v>
      </c>
      <c r="D5" s="5">
        <v>127.15</v>
      </c>
      <c r="E5" s="5">
        <v>718.5</v>
      </c>
      <c r="F5" s="5">
        <v>216</v>
      </c>
      <c r="G5" s="5">
        <v>18</v>
      </c>
      <c r="H5" s="5">
        <v>97</v>
      </c>
      <c r="I5" s="5">
        <v>77.7</v>
      </c>
    </row>
    <row r="6" spans="1:9" x14ac:dyDescent="0.25">
      <c r="A6" s="15">
        <v>41760</v>
      </c>
      <c r="B6" s="5">
        <v>103.46</v>
      </c>
      <c r="C6" s="5">
        <v>125.93300000000001</v>
      </c>
      <c r="D6" s="5">
        <v>135.1</v>
      </c>
      <c r="E6" s="5">
        <v>640.78</v>
      </c>
      <c r="F6" s="5">
        <v>273</v>
      </c>
      <c r="G6" s="5">
        <v>23</v>
      </c>
      <c r="H6" s="5">
        <v>108</v>
      </c>
      <c r="I6" s="5">
        <v>127.7</v>
      </c>
    </row>
    <row r="7" spans="1:9" x14ac:dyDescent="0.25">
      <c r="A7" s="15">
        <v>41791</v>
      </c>
      <c r="B7" s="5">
        <v>112.07</v>
      </c>
      <c r="C7" s="5">
        <v>94.71</v>
      </c>
      <c r="D7" s="5">
        <v>122.9</v>
      </c>
      <c r="E7" s="5">
        <v>548.22500000000002</v>
      </c>
      <c r="F7" s="5">
        <v>323</v>
      </c>
      <c r="G7" s="5">
        <v>23</v>
      </c>
      <c r="H7" s="5">
        <v>57</v>
      </c>
      <c r="I7" s="5">
        <v>109.3</v>
      </c>
    </row>
    <row r="8" spans="1:9" x14ac:dyDescent="0.25">
      <c r="A8" s="15">
        <v>41821</v>
      </c>
      <c r="B8" s="5">
        <v>117.06</v>
      </c>
      <c r="C8" s="5">
        <v>95.009999999999991</v>
      </c>
      <c r="D8" s="5">
        <v>129.30000000000001</v>
      </c>
      <c r="E8" s="5">
        <v>491.9</v>
      </c>
      <c r="F8" s="5">
        <v>348</v>
      </c>
      <c r="G8" s="5">
        <v>21</v>
      </c>
      <c r="H8" s="5">
        <v>61</v>
      </c>
      <c r="I8" s="5">
        <v>69.099999999999994</v>
      </c>
    </row>
    <row r="9" spans="1:9" x14ac:dyDescent="0.25">
      <c r="A9" s="15">
        <v>41852</v>
      </c>
      <c r="B9" s="5">
        <v>124.79</v>
      </c>
      <c r="C9" s="5">
        <v>99.78</v>
      </c>
      <c r="D9" s="5">
        <v>123.8</v>
      </c>
      <c r="E9" s="5">
        <v>547.35</v>
      </c>
      <c r="F9" s="5">
        <v>420</v>
      </c>
      <c r="G9" s="5">
        <v>29</v>
      </c>
      <c r="H9" s="5">
        <v>37</v>
      </c>
      <c r="I9" s="5">
        <v>70.8</v>
      </c>
    </row>
    <row r="10" spans="1:9" x14ac:dyDescent="0.25">
      <c r="A10" s="15">
        <v>41883</v>
      </c>
      <c r="B10" s="5">
        <v>108.78</v>
      </c>
      <c r="C10" s="5">
        <v>109.09399999999999</v>
      </c>
      <c r="D10" s="5">
        <v>112.1</v>
      </c>
      <c r="E10" s="5">
        <v>887.81999999999994</v>
      </c>
      <c r="F10" s="5">
        <v>399</v>
      </c>
      <c r="G10" s="5">
        <v>14</v>
      </c>
      <c r="H10" s="5">
        <v>115</v>
      </c>
      <c r="I10" s="5">
        <v>58.8</v>
      </c>
    </row>
    <row r="11" spans="1:9" x14ac:dyDescent="0.25">
      <c r="A11" s="15">
        <v>41913</v>
      </c>
      <c r="B11" s="5">
        <v>98.42</v>
      </c>
      <c r="C11" s="5">
        <v>109.23099999999999</v>
      </c>
      <c r="D11" s="5">
        <v>142.6</v>
      </c>
      <c r="E11" s="5">
        <v>1046.415</v>
      </c>
      <c r="F11" s="5">
        <v>430</v>
      </c>
      <c r="G11" s="5">
        <v>19</v>
      </c>
      <c r="H11" s="5">
        <v>157</v>
      </c>
      <c r="I11" s="5">
        <v>46.8</v>
      </c>
    </row>
    <row r="12" spans="1:9" x14ac:dyDescent="0.25">
      <c r="A12" s="15">
        <v>41944</v>
      </c>
      <c r="B12" s="5">
        <v>138.08000000000001</v>
      </c>
      <c r="C12" s="5">
        <v>100.86</v>
      </c>
      <c r="D12" s="5">
        <v>142.69999999999999</v>
      </c>
      <c r="E12" s="5">
        <v>723.8</v>
      </c>
      <c r="F12" s="5">
        <v>489</v>
      </c>
      <c r="G12" s="5">
        <v>19</v>
      </c>
      <c r="H12" s="5">
        <v>112</v>
      </c>
      <c r="I12" s="5">
        <v>45.2</v>
      </c>
    </row>
    <row r="13" spans="1:9" x14ac:dyDescent="0.25">
      <c r="A13" s="15">
        <v>41974</v>
      </c>
      <c r="B13" s="5">
        <v>143.9</v>
      </c>
      <c r="C13" s="5">
        <v>130.30199999999999</v>
      </c>
      <c r="D13" s="5">
        <v>113.324</v>
      </c>
      <c r="E13" s="5">
        <v>1036.1600000000001</v>
      </c>
      <c r="F13" s="5">
        <v>525</v>
      </c>
      <c r="G13" s="5">
        <v>26</v>
      </c>
      <c r="H13" s="5">
        <v>163</v>
      </c>
      <c r="I13" s="5">
        <v>35.4</v>
      </c>
    </row>
    <row r="14" spans="1:9" x14ac:dyDescent="0.25">
      <c r="A14" s="15">
        <v>42005</v>
      </c>
      <c r="B14" s="5">
        <v>142.58000000000001</v>
      </c>
      <c r="C14" s="5">
        <v>145.08500000000001</v>
      </c>
      <c r="D14" s="5">
        <v>148.9</v>
      </c>
      <c r="E14" s="5">
        <v>1096.3399999999999</v>
      </c>
      <c r="F14" s="5">
        <v>478</v>
      </c>
      <c r="G14" s="5">
        <v>24</v>
      </c>
      <c r="H14" s="5">
        <v>216.25</v>
      </c>
      <c r="I14" s="5">
        <v>46.3</v>
      </c>
    </row>
    <row r="15" spans="1:9" x14ac:dyDescent="0.25">
      <c r="A15" s="15">
        <v>42036</v>
      </c>
      <c r="B15" s="5">
        <v>115.71</v>
      </c>
      <c r="C15" s="5">
        <v>123.74</v>
      </c>
      <c r="D15" s="5">
        <v>131.83000000000001</v>
      </c>
      <c r="E15" s="5">
        <v>953.25200000000007</v>
      </c>
      <c r="F15" s="5">
        <v>243</v>
      </c>
      <c r="G15" s="5">
        <v>9</v>
      </c>
      <c r="H15" s="5">
        <v>208</v>
      </c>
      <c r="I15" s="5">
        <v>47</v>
      </c>
    </row>
    <row r="16" spans="1:9" x14ac:dyDescent="0.25">
      <c r="A16" s="15">
        <v>42064</v>
      </c>
      <c r="B16" s="5">
        <v>156.04</v>
      </c>
      <c r="C16" s="5">
        <v>129.386</v>
      </c>
      <c r="D16" s="5">
        <v>133.80000000000001</v>
      </c>
      <c r="E16" s="5">
        <v>1084.8499999999999</v>
      </c>
      <c r="F16" s="5">
        <v>208</v>
      </c>
      <c r="G16" s="5">
        <v>13</v>
      </c>
      <c r="H16" s="5">
        <v>170</v>
      </c>
      <c r="I16" s="5">
        <v>54</v>
      </c>
    </row>
    <row r="17" spans="1:9" x14ac:dyDescent="0.25">
      <c r="A17" s="15">
        <v>42095</v>
      </c>
      <c r="B17" s="5">
        <v>157.84</v>
      </c>
      <c r="C17" s="5">
        <v>104.455</v>
      </c>
      <c r="D17" s="5">
        <v>122.1</v>
      </c>
      <c r="E17" s="5">
        <v>1013.67</v>
      </c>
      <c r="F17" s="5">
        <v>197</v>
      </c>
      <c r="G17" s="5">
        <v>5</v>
      </c>
      <c r="H17" s="5">
        <v>97</v>
      </c>
      <c r="I17" s="5">
        <v>124.4</v>
      </c>
    </row>
    <row r="18" spans="1:9" x14ac:dyDescent="0.25">
      <c r="A18" s="15">
        <v>42125</v>
      </c>
      <c r="B18" s="5">
        <v>160.02000000000001</v>
      </c>
      <c r="C18" s="5">
        <v>119.117</v>
      </c>
      <c r="D18" s="5">
        <v>136.04</v>
      </c>
      <c r="E18" s="5">
        <v>765.9</v>
      </c>
      <c r="F18" s="5">
        <v>194</v>
      </c>
      <c r="G18" s="5">
        <v>10</v>
      </c>
      <c r="H18" s="5">
        <v>100</v>
      </c>
      <c r="I18" s="5">
        <v>159.5</v>
      </c>
    </row>
    <row r="19" spans="1:9" x14ac:dyDescent="0.25">
      <c r="A19" s="15">
        <v>42156</v>
      </c>
      <c r="B19" s="5">
        <v>151.87</v>
      </c>
      <c r="C19" s="5">
        <v>113.69</v>
      </c>
      <c r="D19" s="5">
        <v>145.46</v>
      </c>
      <c r="E19" s="5">
        <v>715.41300000000001</v>
      </c>
      <c r="F19" s="5">
        <v>217</v>
      </c>
      <c r="G19" s="5">
        <v>12</v>
      </c>
      <c r="H19" s="5">
        <v>193</v>
      </c>
      <c r="I19" s="5">
        <v>125.8</v>
      </c>
    </row>
    <row r="20" spans="1:9" x14ac:dyDescent="0.25">
      <c r="A20" s="15">
        <v>42186</v>
      </c>
      <c r="B20" s="5">
        <v>175.61</v>
      </c>
      <c r="C20" s="5">
        <v>113.81</v>
      </c>
      <c r="D20" s="5">
        <v>125.5</v>
      </c>
      <c r="E20" s="5">
        <v>708.82799999999997</v>
      </c>
      <c r="F20" s="5">
        <v>203</v>
      </c>
      <c r="G20" s="5">
        <v>6</v>
      </c>
      <c r="H20" s="5">
        <v>60</v>
      </c>
      <c r="I20" s="5">
        <v>130.30000000000001</v>
      </c>
    </row>
    <row r="21" spans="1:9" x14ac:dyDescent="0.25">
      <c r="A21" s="15">
        <v>42217</v>
      </c>
      <c r="B21" s="5">
        <v>181.69</v>
      </c>
      <c r="C21" s="5">
        <v>144.51900000000001</v>
      </c>
      <c r="D21" s="5">
        <v>133.4</v>
      </c>
      <c r="E21" s="5">
        <v>790.78800000000001</v>
      </c>
      <c r="F21" s="5">
        <v>265.5</v>
      </c>
      <c r="G21" s="5">
        <v>15</v>
      </c>
      <c r="H21" s="5">
        <v>45</v>
      </c>
      <c r="I21" s="5">
        <v>83.7</v>
      </c>
    </row>
    <row r="22" spans="1:9" x14ac:dyDescent="0.25">
      <c r="A22" s="15">
        <v>42248</v>
      </c>
      <c r="B22" s="5">
        <v>166.22</v>
      </c>
      <c r="C22" s="5">
        <v>134.12200000000001</v>
      </c>
      <c r="D22" s="5">
        <v>110.4</v>
      </c>
      <c r="E22" s="5">
        <v>852.125</v>
      </c>
      <c r="F22" s="5">
        <v>243.5</v>
      </c>
      <c r="G22" s="5">
        <v>11</v>
      </c>
      <c r="H22" s="5">
        <v>91</v>
      </c>
      <c r="I22" s="5">
        <v>71</v>
      </c>
    </row>
    <row r="23" spans="1:9" x14ac:dyDescent="0.25">
      <c r="A23" s="15">
        <v>42278</v>
      </c>
      <c r="B23" s="5">
        <v>195.81</v>
      </c>
      <c r="C23" s="5">
        <v>127.23099999999999</v>
      </c>
      <c r="D23" s="5">
        <v>146.19999999999999</v>
      </c>
      <c r="E23" s="5">
        <v>1574.335</v>
      </c>
      <c r="F23" s="5">
        <v>222</v>
      </c>
      <c r="G23" s="5">
        <v>8</v>
      </c>
      <c r="H23" s="5">
        <v>184</v>
      </c>
      <c r="I23" s="5">
        <v>72</v>
      </c>
    </row>
    <row r="24" spans="1:9" x14ac:dyDescent="0.25">
      <c r="A24" s="15">
        <v>42309</v>
      </c>
      <c r="B24" s="5">
        <v>142.78</v>
      </c>
      <c r="C24" s="5">
        <v>128.233</v>
      </c>
      <c r="D24" s="5">
        <v>145.9</v>
      </c>
      <c r="E24" s="5">
        <v>1234.9749999999999</v>
      </c>
      <c r="F24" s="5">
        <v>228</v>
      </c>
      <c r="G24" s="5">
        <v>18</v>
      </c>
      <c r="H24" s="5">
        <v>165</v>
      </c>
      <c r="I24" s="5">
        <v>44</v>
      </c>
    </row>
    <row r="25" spans="1:9" x14ac:dyDescent="0.25">
      <c r="A25" s="15">
        <v>42339</v>
      </c>
      <c r="B25" s="5">
        <v>168.14</v>
      </c>
      <c r="C25" s="5">
        <v>134.49100000000001</v>
      </c>
      <c r="D25" s="5">
        <v>142</v>
      </c>
      <c r="E25" s="5">
        <v>1293.3989999999999</v>
      </c>
      <c r="F25" s="5">
        <v>289</v>
      </c>
      <c r="G25" s="5">
        <v>28</v>
      </c>
      <c r="H25" s="5">
        <v>243</v>
      </c>
      <c r="I25" s="5">
        <v>42.73</v>
      </c>
    </row>
    <row r="26" spans="1:9" x14ac:dyDescent="0.25">
      <c r="A26" s="15">
        <v>42370</v>
      </c>
      <c r="B26" s="5">
        <v>188.31</v>
      </c>
      <c r="C26" s="5">
        <v>138.458</v>
      </c>
      <c r="D26" s="5">
        <v>187</v>
      </c>
      <c r="E26" s="5">
        <v>1616.5239999999999</v>
      </c>
      <c r="F26" s="5">
        <v>256</v>
      </c>
      <c r="G26" s="5">
        <v>26</v>
      </c>
      <c r="H26" s="5">
        <v>180</v>
      </c>
      <c r="I26" s="5">
        <v>58.5</v>
      </c>
    </row>
    <row r="27" spans="1:9" x14ac:dyDescent="0.25">
      <c r="A27" s="15">
        <v>42401</v>
      </c>
      <c r="B27" s="5">
        <v>173.81</v>
      </c>
      <c r="C27" s="5">
        <v>137.52799999999999</v>
      </c>
      <c r="D27" s="5">
        <v>134.19999999999999</v>
      </c>
      <c r="E27" s="5">
        <v>1224.8620000000001</v>
      </c>
      <c r="F27" s="5">
        <v>239</v>
      </c>
      <c r="G27" s="5">
        <v>20</v>
      </c>
      <c r="H27" s="5">
        <v>245</v>
      </c>
      <c r="I27" s="5">
        <v>58</v>
      </c>
    </row>
    <row r="28" spans="1:9" x14ac:dyDescent="0.25">
      <c r="A28" s="15">
        <v>42430</v>
      </c>
      <c r="B28" s="5">
        <v>156.63999999999999</v>
      </c>
      <c r="C28" s="5">
        <v>165.589</v>
      </c>
      <c r="D28" s="5">
        <v>148.4</v>
      </c>
      <c r="E28" s="5">
        <v>1150.7</v>
      </c>
      <c r="F28" s="5">
        <v>250</v>
      </c>
      <c r="G28" s="5">
        <v>13</v>
      </c>
      <c r="H28" s="5">
        <v>253</v>
      </c>
      <c r="I28" s="5">
        <v>97.84</v>
      </c>
    </row>
    <row r="29" spans="1:9" x14ac:dyDescent="0.25">
      <c r="A29" s="15">
        <v>42461</v>
      </c>
      <c r="B29" s="5">
        <v>166.61</v>
      </c>
      <c r="C29" s="5">
        <v>146.52600000000001</v>
      </c>
      <c r="D29" s="5">
        <v>147.69999999999999</v>
      </c>
      <c r="E29" s="5">
        <v>998.33699999999999</v>
      </c>
      <c r="F29" s="5">
        <v>292</v>
      </c>
      <c r="G29" s="5">
        <v>18</v>
      </c>
      <c r="H29" s="5">
        <v>216</v>
      </c>
      <c r="I29" s="5">
        <v>162.4</v>
      </c>
    </row>
    <row r="30" spans="1:9" x14ac:dyDescent="0.25">
      <c r="A30" s="15">
        <v>42491</v>
      </c>
      <c r="B30" s="5">
        <v>171.36</v>
      </c>
      <c r="C30" s="5">
        <v>127.521</v>
      </c>
      <c r="D30" s="5">
        <v>131.55000000000001</v>
      </c>
      <c r="E30" s="5">
        <v>1018.55</v>
      </c>
      <c r="F30" s="5">
        <v>261</v>
      </c>
      <c r="G30" s="5">
        <v>19</v>
      </c>
      <c r="H30" s="5">
        <v>135</v>
      </c>
      <c r="I30" s="5">
        <v>142.1</v>
      </c>
    </row>
    <row r="31" spans="1:9" x14ac:dyDescent="0.25">
      <c r="A31" s="15">
        <v>42522</v>
      </c>
      <c r="B31" s="5">
        <v>169.67</v>
      </c>
      <c r="C31" s="5">
        <v>114.961</v>
      </c>
      <c r="D31" s="5">
        <v>117.75</v>
      </c>
      <c r="E31" s="5">
        <v>760.05</v>
      </c>
      <c r="F31" s="5">
        <v>280.5</v>
      </c>
      <c r="G31" s="5">
        <v>20</v>
      </c>
      <c r="H31" s="5">
        <v>127</v>
      </c>
      <c r="I31" s="5">
        <v>134.80000000000001</v>
      </c>
    </row>
    <row r="32" spans="1:9" x14ac:dyDescent="0.25">
      <c r="A32" s="15">
        <v>42552</v>
      </c>
      <c r="B32" s="5">
        <v>194.52833333300001</v>
      </c>
      <c r="C32" s="5">
        <v>141.01900000000001</v>
      </c>
      <c r="D32" s="5">
        <v>137.9</v>
      </c>
      <c r="E32" s="5">
        <v>652.36199999999997</v>
      </c>
      <c r="F32" s="5">
        <v>240</v>
      </c>
      <c r="G32" s="5">
        <v>8</v>
      </c>
      <c r="H32" s="5">
        <v>109</v>
      </c>
      <c r="I32" s="5">
        <v>116.83</v>
      </c>
    </row>
    <row r="33" spans="1:9" x14ac:dyDescent="0.25">
      <c r="A33" s="15">
        <v>42583</v>
      </c>
      <c r="B33" s="5">
        <v>211.13</v>
      </c>
      <c r="C33" s="5">
        <v>114.375</v>
      </c>
      <c r="D33" s="5">
        <v>132.69999999999999</v>
      </c>
      <c r="E33" s="5">
        <v>686.38333334000004</v>
      </c>
      <c r="F33" s="5">
        <v>275.5</v>
      </c>
      <c r="G33" s="5">
        <v>12</v>
      </c>
      <c r="H33" s="5">
        <v>116</v>
      </c>
      <c r="I33" s="5">
        <v>85.3</v>
      </c>
    </row>
    <row r="34" spans="1:9" x14ac:dyDescent="0.25">
      <c r="A34" s="15">
        <v>42614</v>
      </c>
      <c r="B34" s="5">
        <v>172.96</v>
      </c>
      <c r="C34" s="5">
        <v>126.218</v>
      </c>
      <c r="D34" s="5">
        <v>116.7</v>
      </c>
      <c r="E34" s="5">
        <v>1118.6990000000001</v>
      </c>
      <c r="F34" s="5">
        <v>307</v>
      </c>
      <c r="G34" s="5">
        <v>18</v>
      </c>
      <c r="H34" s="5">
        <v>121</v>
      </c>
      <c r="I34" s="5">
        <v>69.3</v>
      </c>
    </row>
    <row r="35" spans="1:9" x14ac:dyDescent="0.25">
      <c r="A35" s="15">
        <v>42644</v>
      </c>
      <c r="B35" s="5">
        <v>186.76</v>
      </c>
      <c r="C35" s="5">
        <v>142.05600000000001</v>
      </c>
      <c r="D35" s="5">
        <v>160.15</v>
      </c>
      <c r="E35" s="5">
        <v>1583.6916666699999</v>
      </c>
      <c r="F35" s="5">
        <v>290.83333333000002</v>
      </c>
      <c r="G35" s="5">
        <v>11</v>
      </c>
      <c r="H35" s="5">
        <v>220</v>
      </c>
      <c r="I35" s="5">
        <v>60.9</v>
      </c>
    </row>
    <row r="36" spans="1:9" x14ac:dyDescent="0.25">
      <c r="A36" s="15">
        <v>42675</v>
      </c>
      <c r="B36" s="5">
        <v>166.84666666699999</v>
      </c>
      <c r="C36" s="5">
        <v>116.85</v>
      </c>
      <c r="D36" s="5">
        <v>133.85</v>
      </c>
      <c r="E36" s="5">
        <v>1062.6859999999999</v>
      </c>
      <c r="F36" s="5">
        <v>234.16666667000001</v>
      </c>
      <c r="G36" s="5">
        <v>27</v>
      </c>
      <c r="H36" s="5">
        <v>150</v>
      </c>
      <c r="I36" s="5">
        <v>51.2</v>
      </c>
    </row>
    <row r="37" spans="1:9" x14ac:dyDescent="0.25">
      <c r="A37" s="15">
        <v>42705</v>
      </c>
      <c r="B37" s="5">
        <v>172.66</v>
      </c>
      <c r="C37" s="5">
        <v>140.05600000000001</v>
      </c>
      <c r="D37" s="5">
        <v>125.100666667</v>
      </c>
      <c r="E37" s="5">
        <v>1670.9349999999999</v>
      </c>
      <c r="F37" s="5">
        <v>232.33333332999999</v>
      </c>
      <c r="G37" s="5">
        <v>21</v>
      </c>
      <c r="H37" s="5">
        <v>281</v>
      </c>
      <c r="I37" s="5">
        <v>38.9</v>
      </c>
    </row>
    <row r="38" spans="1:9" x14ac:dyDescent="0.25">
      <c r="A38" s="15">
        <v>42736</v>
      </c>
      <c r="B38" s="5">
        <v>184.53</v>
      </c>
      <c r="C38" s="5">
        <v>156.56</v>
      </c>
      <c r="D38" s="5">
        <v>122.1</v>
      </c>
      <c r="E38" s="5">
        <v>1462.8119999999999</v>
      </c>
      <c r="F38" s="5">
        <v>247</v>
      </c>
      <c r="G38" s="5">
        <v>24</v>
      </c>
      <c r="H38" s="5">
        <v>198</v>
      </c>
      <c r="I38" s="5">
        <v>42.1</v>
      </c>
    </row>
    <row r="39" spans="1:9" x14ac:dyDescent="0.25">
      <c r="A39" s="15">
        <v>42767</v>
      </c>
      <c r="B39" s="5">
        <v>151.98500000000001</v>
      </c>
      <c r="C39" s="5">
        <v>124.96899999999999</v>
      </c>
      <c r="D39" s="5">
        <v>128.15</v>
      </c>
      <c r="E39" s="5">
        <v>709.91200000000003</v>
      </c>
      <c r="F39" s="5">
        <v>157.875</v>
      </c>
      <c r="G39" s="5">
        <v>7</v>
      </c>
      <c r="H39" s="5">
        <v>126</v>
      </c>
      <c r="I39" s="5">
        <v>34.6</v>
      </c>
    </row>
    <row r="40" spans="1:9" x14ac:dyDescent="0.25">
      <c r="A40" s="15">
        <v>42795</v>
      </c>
      <c r="B40" s="5">
        <v>162.85</v>
      </c>
      <c r="C40" s="5">
        <v>111.05500000000001</v>
      </c>
      <c r="D40" s="5">
        <v>107.35</v>
      </c>
      <c r="E40" s="5">
        <v>612.5</v>
      </c>
      <c r="F40" s="5">
        <v>165</v>
      </c>
      <c r="G40" s="5">
        <v>9</v>
      </c>
      <c r="H40" s="5">
        <v>109</v>
      </c>
      <c r="I40" s="5">
        <v>100.1</v>
      </c>
    </row>
    <row r="41" spans="1:9" x14ac:dyDescent="0.25">
      <c r="A41" s="15">
        <v>42826</v>
      </c>
      <c r="B41" s="5">
        <v>160.61000000000001</v>
      </c>
      <c r="C41" s="5">
        <v>105.261</v>
      </c>
      <c r="D41" s="5">
        <v>100.5</v>
      </c>
      <c r="E41" s="5">
        <v>588.20000000000005</v>
      </c>
      <c r="F41" s="5">
        <v>135</v>
      </c>
      <c r="G41" s="5">
        <v>9</v>
      </c>
      <c r="H41" s="5">
        <v>187.875</v>
      </c>
      <c r="I41" s="5">
        <v>127.4</v>
      </c>
    </row>
    <row r="42" spans="1:9" x14ac:dyDescent="0.25">
      <c r="A42" s="15">
        <v>42856</v>
      </c>
      <c r="B42" s="5">
        <v>143.66</v>
      </c>
      <c r="C42" s="5">
        <v>118.125</v>
      </c>
      <c r="D42" s="5">
        <v>98.95</v>
      </c>
      <c r="E42" s="5">
        <v>547.93999999999994</v>
      </c>
      <c r="F42" s="5">
        <v>148</v>
      </c>
      <c r="G42" s="5">
        <v>23</v>
      </c>
      <c r="H42" s="5">
        <v>128</v>
      </c>
      <c r="I42" s="5">
        <v>161.81</v>
      </c>
    </row>
    <row r="43" spans="1:9" x14ac:dyDescent="0.25">
      <c r="A43" s="15">
        <v>42887</v>
      </c>
      <c r="B43" s="5">
        <v>122.33</v>
      </c>
      <c r="C43" s="5">
        <v>103.006</v>
      </c>
      <c r="D43" s="5">
        <v>99.6</v>
      </c>
      <c r="E43" s="5">
        <v>496.1</v>
      </c>
      <c r="F43" s="5">
        <v>163</v>
      </c>
      <c r="G43" s="5">
        <v>8</v>
      </c>
      <c r="H43" s="5">
        <v>163</v>
      </c>
      <c r="I43" s="5">
        <v>151.9</v>
      </c>
    </row>
    <row r="44" spans="1:9" x14ac:dyDescent="0.25">
      <c r="A44" s="15">
        <v>42917</v>
      </c>
      <c r="B44" s="5">
        <v>150.29499999999999</v>
      </c>
      <c r="C44" s="5">
        <v>116.206</v>
      </c>
      <c r="D44" s="5">
        <v>75.2</v>
      </c>
      <c r="E44" s="5">
        <v>479.35</v>
      </c>
      <c r="F44" s="5">
        <v>219</v>
      </c>
      <c r="G44" s="5">
        <v>15</v>
      </c>
      <c r="H44" s="5">
        <v>115</v>
      </c>
      <c r="I44" s="5">
        <v>81.099999999999994</v>
      </c>
    </row>
    <row r="45" spans="1:9" x14ac:dyDescent="0.25">
      <c r="A45" s="15">
        <v>42948</v>
      </c>
      <c r="B45" s="5">
        <v>170.15</v>
      </c>
      <c r="C45" s="5">
        <v>112.47</v>
      </c>
      <c r="D45" s="5">
        <v>84.399999999999991</v>
      </c>
      <c r="E45" s="5">
        <v>549.29999999999995</v>
      </c>
      <c r="F45" s="5">
        <v>239</v>
      </c>
      <c r="G45" s="5">
        <v>12</v>
      </c>
      <c r="H45" s="5">
        <v>75</v>
      </c>
      <c r="I45" s="5">
        <v>60.1</v>
      </c>
    </row>
    <row r="46" spans="1:9" x14ac:dyDescent="0.25">
      <c r="A46" s="15">
        <v>42979</v>
      </c>
      <c r="B46" s="5">
        <v>138.33000000000001</v>
      </c>
      <c r="C46" s="5">
        <v>118.711</v>
      </c>
      <c r="D46" s="5">
        <v>88.15</v>
      </c>
      <c r="E46" s="5">
        <v>863.75</v>
      </c>
      <c r="F46" s="5">
        <v>223</v>
      </c>
      <c r="G46" s="5">
        <v>23</v>
      </c>
      <c r="H46" s="5">
        <v>139</v>
      </c>
      <c r="I46" s="5">
        <v>66.900000000000006</v>
      </c>
    </row>
    <row r="47" spans="1:9" x14ac:dyDescent="0.25">
      <c r="A47" s="15">
        <v>43009</v>
      </c>
      <c r="B47" s="5">
        <v>140.97</v>
      </c>
      <c r="C47" s="5">
        <v>93.802999999999997</v>
      </c>
      <c r="D47" s="5">
        <v>102.4</v>
      </c>
      <c r="E47" s="5">
        <v>1241.95</v>
      </c>
      <c r="F47" s="5">
        <v>233</v>
      </c>
      <c r="G47" s="5">
        <v>15</v>
      </c>
      <c r="H47" s="5">
        <v>252</v>
      </c>
      <c r="I47" s="5">
        <v>52</v>
      </c>
    </row>
    <row r="48" spans="1:9" x14ac:dyDescent="0.25">
      <c r="A48" s="15">
        <v>43040</v>
      </c>
      <c r="B48" s="5">
        <v>163.85</v>
      </c>
      <c r="C48" s="5">
        <v>119.78</v>
      </c>
      <c r="D48" s="5">
        <v>104.45</v>
      </c>
      <c r="E48" s="5">
        <v>867.899</v>
      </c>
      <c r="F48" s="5">
        <v>192</v>
      </c>
      <c r="G48" s="5">
        <v>15</v>
      </c>
      <c r="H48" s="5">
        <v>196</v>
      </c>
      <c r="I48" s="5">
        <v>46.6</v>
      </c>
    </row>
    <row r="49" spans="1:9" x14ac:dyDescent="0.25">
      <c r="A49" s="15">
        <v>43070</v>
      </c>
      <c r="B49" s="5">
        <v>162.51</v>
      </c>
      <c r="C49" s="5">
        <v>123.762</v>
      </c>
      <c r="D49" s="5">
        <v>118.15</v>
      </c>
      <c r="E49" s="5">
        <v>1064.08</v>
      </c>
      <c r="F49" s="5">
        <v>234</v>
      </c>
      <c r="G49" s="5">
        <v>6</v>
      </c>
      <c r="H49" s="5">
        <v>209</v>
      </c>
      <c r="I49" s="5">
        <v>49.1</v>
      </c>
    </row>
    <row r="50" spans="1:9" x14ac:dyDescent="0.25">
      <c r="A50" s="15">
        <v>43101</v>
      </c>
      <c r="B50" s="5">
        <v>151.44</v>
      </c>
      <c r="C50" s="5">
        <v>116.28100000000001</v>
      </c>
      <c r="D50" s="5">
        <v>109.15</v>
      </c>
      <c r="E50" s="5">
        <v>1255.125</v>
      </c>
      <c r="F50" s="5">
        <v>240</v>
      </c>
      <c r="G50" s="5">
        <v>11</v>
      </c>
      <c r="H50" s="5">
        <v>222</v>
      </c>
      <c r="I50" s="5">
        <v>54</v>
      </c>
    </row>
    <row r="51" spans="1:9" x14ac:dyDescent="0.25">
      <c r="A51" s="15">
        <v>43132</v>
      </c>
      <c r="B51" s="5">
        <v>128.36000000000001</v>
      </c>
      <c r="C51" s="5">
        <v>132.804</v>
      </c>
      <c r="D51" s="5">
        <v>114.65</v>
      </c>
      <c r="E51" s="5">
        <v>1255.374</v>
      </c>
      <c r="F51" s="5">
        <v>268</v>
      </c>
      <c r="G51" s="5">
        <v>12</v>
      </c>
      <c r="H51" s="5">
        <v>224.25</v>
      </c>
      <c r="I51" s="5">
        <v>39.06</v>
      </c>
    </row>
    <row r="52" spans="1:9" x14ac:dyDescent="0.25">
      <c r="A52" s="15">
        <v>43160</v>
      </c>
      <c r="B52" s="5">
        <v>146.16</v>
      </c>
      <c r="C52" s="5">
        <v>111.764</v>
      </c>
      <c r="D52" s="5">
        <v>122.3</v>
      </c>
      <c r="E52" s="5">
        <v>999.12300000000005</v>
      </c>
      <c r="F52" s="5">
        <v>381</v>
      </c>
      <c r="G52" s="5">
        <v>42</v>
      </c>
      <c r="H52" s="5">
        <v>269</v>
      </c>
      <c r="I52" s="5">
        <v>85.5</v>
      </c>
    </row>
    <row r="53" spans="1:9" x14ac:dyDescent="0.25">
      <c r="A53" s="15">
        <v>43191</v>
      </c>
      <c r="B53" s="5">
        <v>171.02</v>
      </c>
      <c r="C53" s="5">
        <v>110.482</v>
      </c>
      <c r="D53" s="5">
        <v>85.6</v>
      </c>
      <c r="E53" s="5">
        <v>821.48699999999997</v>
      </c>
      <c r="F53" s="5">
        <v>297</v>
      </c>
      <c r="G53" s="5">
        <v>15</v>
      </c>
      <c r="H53" s="5">
        <v>229</v>
      </c>
      <c r="I53" s="5">
        <v>201.1</v>
      </c>
    </row>
    <row r="54" spans="1:9" x14ac:dyDescent="0.25">
      <c r="A54" s="15">
        <v>43221</v>
      </c>
      <c r="B54" s="5">
        <v>160.52000000000001</v>
      </c>
      <c r="C54" s="5">
        <v>103.52200000000001</v>
      </c>
      <c r="D54" s="5">
        <v>89.4</v>
      </c>
      <c r="E54" s="5">
        <v>644.64800000000002</v>
      </c>
      <c r="F54" s="5">
        <v>259</v>
      </c>
      <c r="G54" s="5">
        <v>13</v>
      </c>
      <c r="H54" s="5">
        <v>167</v>
      </c>
      <c r="I54" s="5">
        <v>213.04</v>
      </c>
    </row>
    <row r="55" spans="1:9" x14ac:dyDescent="0.25">
      <c r="A55" s="15">
        <v>43252</v>
      </c>
      <c r="B55" s="5">
        <v>141.18</v>
      </c>
      <c r="C55" s="5">
        <v>114.226</v>
      </c>
      <c r="D55" s="5">
        <v>86.8</v>
      </c>
      <c r="E55" s="5">
        <v>584.34299999999996</v>
      </c>
      <c r="F55" s="5">
        <v>248</v>
      </c>
      <c r="G55" s="5">
        <v>18</v>
      </c>
      <c r="H55" s="5">
        <v>101</v>
      </c>
      <c r="I55" s="5">
        <v>120.8</v>
      </c>
    </row>
    <row r="56" spans="1:9" x14ac:dyDescent="0.25">
      <c r="A56" s="15">
        <v>43282</v>
      </c>
      <c r="B56" s="5">
        <v>150.18</v>
      </c>
      <c r="C56" s="5">
        <v>132.54900000000001</v>
      </c>
      <c r="D56" s="5">
        <v>87.2</v>
      </c>
      <c r="E56" s="5">
        <v>679.35</v>
      </c>
      <c r="F56" s="5">
        <v>283</v>
      </c>
      <c r="G56" s="5">
        <v>19</v>
      </c>
      <c r="H56" s="5">
        <v>90</v>
      </c>
      <c r="I56" s="5">
        <v>122.2</v>
      </c>
    </row>
    <row r="57" spans="1:9" x14ac:dyDescent="0.25">
      <c r="A57" s="15">
        <v>43313</v>
      </c>
      <c r="B57" s="5">
        <v>140</v>
      </c>
      <c r="C57" s="5">
        <v>114.71899999999999</v>
      </c>
      <c r="D57" s="5">
        <v>88.25</v>
      </c>
      <c r="E57" s="5">
        <v>733.83799999999997</v>
      </c>
      <c r="F57" s="5">
        <v>253</v>
      </c>
      <c r="G57" s="5">
        <v>20</v>
      </c>
      <c r="H57" s="5">
        <v>159</v>
      </c>
      <c r="I57" s="5">
        <v>103.1</v>
      </c>
    </row>
    <row r="58" spans="1:9" x14ac:dyDescent="0.25">
      <c r="A58" s="15">
        <v>43344</v>
      </c>
      <c r="B58" s="5">
        <v>153.52000000000001</v>
      </c>
      <c r="C58" s="5">
        <v>114.992</v>
      </c>
      <c r="D58" s="5">
        <v>86.5</v>
      </c>
      <c r="E58" s="5">
        <v>1058.2619999999999</v>
      </c>
      <c r="F58" s="5">
        <v>263</v>
      </c>
      <c r="G58" s="5">
        <v>12</v>
      </c>
      <c r="H58" s="5">
        <v>205</v>
      </c>
      <c r="I58" s="5">
        <v>88.1</v>
      </c>
    </row>
    <row r="59" spans="1:9" x14ac:dyDescent="0.25">
      <c r="A59" s="15">
        <v>43374</v>
      </c>
      <c r="B59" s="5">
        <v>144.71</v>
      </c>
      <c r="C59" s="5">
        <v>129.4</v>
      </c>
      <c r="D59" s="5">
        <v>76.05</v>
      </c>
      <c r="E59" s="5">
        <v>1129.2750000000001</v>
      </c>
      <c r="F59" s="5">
        <v>287</v>
      </c>
      <c r="G59" s="5">
        <v>25</v>
      </c>
      <c r="H59" s="5">
        <v>327</v>
      </c>
      <c r="I59" s="5">
        <v>76.900000000000006</v>
      </c>
    </row>
    <row r="60" spans="1:9" x14ac:dyDescent="0.25">
      <c r="A60" s="15">
        <v>43405</v>
      </c>
      <c r="B60" s="5">
        <v>172.29</v>
      </c>
      <c r="C60" s="5">
        <v>105.48699999999999</v>
      </c>
      <c r="D60" s="5">
        <v>102.15</v>
      </c>
      <c r="E60" s="5">
        <v>995.15</v>
      </c>
      <c r="F60" s="5">
        <v>252.2</v>
      </c>
      <c r="G60" s="5">
        <v>22</v>
      </c>
      <c r="H60" s="5">
        <v>311</v>
      </c>
      <c r="I60" s="5">
        <v>48.4</v>
      </c>
    </row>
    <row r="61" spans="1:9" x14ac:dyDescent="0.25">
      <c r="A61" s="15">
        <v>43435</v>
      </c>
      <c r="B61" s="5">
        <v>167.88</v>
      </c>
      <c r="C61" s="5">
        <v>122.267</v>
      </c>
      <c r="D61" s="5">
        <v>91.75</v>
      </c>
      <c r="E61" s="5">
        <v>1360.95</v>
      </c>
      <c r="F61" s="5">
        <v>271</v>
      </c>
      <c r="G61" s="5">
        <v>32</v>
      </c>
      <c r="H61" s="5">
        <v>402</v>
      </c>
      <c r="I61" s="5">
        <v>60.1</v>
      </c>
    </row>
    <row r="62" spans="1:9" x14ac:dyDescent="0.25">
      <c r="A62" s="15">
        <v>43466</v>
      </c>
      <c r="B62" s="5">
        <v>184.71</v>
      </c>
      <c r="C62" s="5">
        <v>207.63900000000001</v>
      </c>
      <c r="D62" s="5">
        <v>109.6</v>
      </c>
      <c r="E62" s="5">
        <v>1822.7739999999999</v>
      </c>
      <c r="F62" s="5">
        <v>318.2</v>
      </c>
      <c r="G62" s="5">
        <v>24</v>
      </c>
      <c r="H62" s="5">
        <v>392</v>
      </c>
      <c r="I62" s="5">
        <v>43.3</v>
      </c>
    </row>
    <row r="63" spans="1:9" x14ac:dyDescent="0.25">
      <c r="A63" s="15">
        <v>43497</v>
      </c>
      <c r="B63" s="5">
        <v>133.72999999999999</v>
      </c>
      <c r="C63" s="5">
        <v>142.155</v>
      </c>
      <c r="D63" s="5">
        <v>110.2</v>
      </c>
      <c r="E63" s="5">
        <v>1001.212</v>
      </c>
      <c r="F63" s="5">
        <v>249.4</v>
      </c>
      <c r="G63" s="5">
        <v>12</v>
      </c>
      <c r="H63" s="5">
        <v>226</v>
      </c>
      <c r="I63" s="5">
        <v>69.5</v>
      </c>
    </row>
    <row r="64" spans="1:9" x14ac:dyDescent="0.25">
      <c r="A64" s="15">
        <v>43525</v>
      </c>
      <c r="B64" s="5">
        <v>154.52000000000001</v>
      </c>
      <c r="C64" s="5">
        <v>113.11799999999999</v>
      </c>
      <c r="D64" s="5">
        <v>83.35</v>
      </c>
      <c r="E64" s="5">
        <v>941.05000000000007</v>
      </c>
      <c r="F64" s="5">
        <v>301.39999999999998</v>
      </c>
      <c r="G64" s="5">
        <v>19</v>
      </c>
      <c r="H64" s="5">
        <v>257</v>
      </c>
      <c r="I64" s="5">
        <v>169.5</v>
      </c>
    </row>
    <row r="65" spans="1:9" x14ac:dyDescent="0.25">
      <c r="A65" s="15">
        <v>43556</v>
      </c>
      <c r="B65" s="5">
        <v>169.4</v>
      </c>
      <c r="C65" s="5">
        <v>112.123</v>
      </c>
      <c r="D65" s="5">
        <v>96.1</v>
      </c>
      <c r="E65" s="5">
        <v>689.05</v>
      </c>
      <c r="F65" s="5">
        <v>317.39999999999998</v>
      </c>
      <c r="G65" s="5">
        <v>22</v>
      </c>
      <c r="H65" s="5">
        <v>226</v>
      </c>
      <c r="I65" s="5">
        <v>190.6</v>
      </c>
    </row>
    <row r="66" spans="1:9" x14ac:dyDescent="0.25">
      <c r="A66" s="15">
        <v>43586</v>
      </c>
      <c r="B66" s="5">
        <v>168.04</v>
      </c>
      <c r="C66" s="5">
        <v>97.257999999999996</v>
      </c>
      <c r="D66" s="5">
        <v>104.1</v>
      </c>
      <c r="E66" s="5">
        <v>703.56200000000001</v>
      </c>
      <c r="F66" s="5">
        <v>265.8</v>
      </c>
      <c r="G66" s="5">
        <v>26</v>
      </c>
      <c r="H66" s="5">
        <v>298.29166666999998</v>
      </c>
      <c r="I66" s="5">
        <v>135.4</v>
      </c>
    </row>
    <row r="67" spans="1:9" x14ac:dyDescent="0.25">
      <c r="A67" s="15">
        <v>43617</v>
      </c>
      <c r="B67" s="5">
        <v>151.54</v>
      </c>
      <c r="C67" s="5">
        <v>101.627</v>
      </c>
      <c r="D67" s="5">
        <v>103.2</v>
      </c>
      <c r="E67" s="5">
        <v>610</v>
      </c>
      <c r="F67" s="5">
        <v>193</v>
      </c>
      <c r="G67" s="5">
        <v>25</v>
      </c>
      <c r="H67" s="5">
        <v>142</v>
      </c>
      <c r="I67" s="5">
        <v>156.04</v>
      </c>
    </row>
    <row r="68" spans="1:9" x14ac:dyDescent="0.25">
      <c r="A68" s="15">
        <v>43647</v>
      </c>
      <c r="B68" s="5">
        <v>181</v>
      </c>
      <c r="C68" s="5">
        <v>103.541</v>
      </c>
      <c r="D68" s="5">
        <v>92.8</v>
      </c>
      <c r="E68" s="5">
        <v>620.67499999999995</v>
      </c>
      <c r="F68" s="5">
        <v>250.6</v>
      </c>
      <c r="G68" s="5">
        <v>20</v>
      </c>
      <c r="H68" s="5">
        <v>115</v>
      </c>
      <c r="I68" s="5">
        <v>105.2</v>
      </c>
    </row>
    <row r="69" spans="1:9" x14ac:dyDescent="0.25">
      <c r="A69" s="15">
        <v>43678</v>
      </c>
      <c r="B69" s="5">
        <v>181.91</v>
      </c>
      <c r="C69" s="5">
        <v>88.269000000000005</v>
      </c>
      <c r="D69" s="5">
        <v>84.2</v>
      </c>
      <c r="E69" s="5">
        <v>518.1</v>
      </c>
      <c r="F69" s="5">
        <v>237</v>
      </c>
      <c r="G69" s="5">
        <v>26</v>
      </c>
      <c r="H69" s="5">
        <v>145</v>
      </c>
      <c r="I69" s="5">
        <v>97.3</v>
      </c>
    </row>
    <row r="70" spans="1:9" x14ac:dyDescent="0.25">
      <c r="A70" s="15">
        <v>43709</v>
      </c>
      <c r="B70" s="5">
        <v>161.07</v>
      </c>
      <c r="C70" s="5">
        <v>111.437</v>
      </c>
      <c r="D70" s="5">
        <v>93.5</v>
      </c>
      <c r="E70" s="5">
        <v>984.48</v>
      </c>
      <c r="F70" s="5">
        <v>227.8</v>
      </c>
      <c r="G70" s="5">
        <v>16</v>
      </c>
      <c r="H70" s="5">
        <v>121.416666667</v>
      </c>
      <c r="I70" s="5">
        <v>109.1</v>
      </c>
    </row>
  </sheetData>
  <pageMargins left="0.7" right="0.7" top="0.75" bottom="0.75" header="0.3" footer="0.3"/>
  <headerFooter>
    <oddFooter>&amp;L_x000D_&amp;1#&amp;"Aptos"&amp;10&amp;K008000 Interne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93"/>
  <sheetViews>
    <sheetView topLeftCell="C1" workbookViewId="0">
      <pane ySplit="1" topLeftCell="A2" activePane="bottomLeft" state="frozen"/>
      <selection pane="bottomLeft" activeCell="K12" sqref="K11:K12"/>
    </sheetView>
  </sheetViews>
  <sheetFormatPr baseColWidth="10" defaultColWidth="9.140625" defaultRowHeight="15" x14ac:dyDescent="0.25"/>
  <cols>
    <col min="1" max="2" width="12.7109375" customWidth="1"/>
    <col min="3" max="12" width="26.7109375" customWidth="1"/>
  </cols>
  <sheetData>
    <row r="1" spans="1:12" ht="30" x14ac:dyDescent="0.25">
      <c r="A1" s="4" t="s">
        <v>89</v>
      </c>
      <c r="B1" s="4" t="s">
        <v>94</v>
      </c>
      <c r="C1" s="4" t="s">
        <v>196</v>
      </c>
      <c r="D1" s="4" t="s">
        <v>29</v>
      </c>
      <c r="E1" s="4" t="s">
        <v>35</v>
      </c>
      <c r="F1" s="4" t="s">
        <v>41</v>
      </c>
      <c r="G1" s="4" t="s">
        <v>147</v>
      </c>
      <c r="H1" s="4" t="s">
        <v>154</v>
      </c>
      <c r="I1" s="4" t="s">
        <v>149</v>
      </c>
      <c r="J1" s="4" t="s">
        <v>151</v>
      </c>
      <c r="K1" s="4" t="s">
        <v>150</v>
      </c>
      <c r="L1" s="4" t="s">
        <v>148</v>
      </c>
    </row>
    <row r="2" spans="1:12" x14ac:dyDescent="0.25">
      <c r="A2" s="15">
        <v>43009</v>
      </c>
      <c r="B2" s="5" t="s">
        <v>25</v>
      </c>
      <c r="C2" s="14">
        <v>140.97</v>
      </c>
      <c r="D2" s="14">
        <v>181.55397405348421</v>
      </c>
      <c r="E2" s="14">
        <v>160.33000000000001</v>
      </c>
      <c r="F2" s="14">
        <v>187.68228703167719</v>
      </c>
      <c r="G2" s="14">
        <v>150.3852199191966</v>
      </c>
      <c r="H2" s="14">
        <v>151.15844206652551</v>
      </c>
      <c r="I2" s="14">
        <v>150.18331811400029</v>
      </c>
      <c r="J2" s="14">
        <v>151.15688986457931</v>
      </c>
      <c r="K2" s="14">
        <v>186.76</v>
      </c>
      <c r="L2" s="14">
        <v>138.33000000000001</v>
      </c>
    </row>
    <row r="3" spans="1:12" x14ac:dyDescent="0.25">
      <c r="A3" s="15">
        <v>43040</v>
      </c>
      <c r="B3" s="5" t="s">
        <v>25</v>
      </c>
      <c r="C3" s="14">
        <v>163.85</v>
      </c>
      <c r="D3" s="14">
        <v>173.35064855974909</v>
      </c>
      <c r="E3" s="14">
        <v>149.23555555566671</v>
      </c>
      <c r="F3" s="14">
        <v>173.1940974663209</v>
      </c>
      <c r="G3" s="14">
        <v>140.89617475612121</v>
      </c>
      <c r="H3" s="14">
        <v>141.4121200080545</v>
      </c>
      <c r="I3" s="14">
        <v>133.99524897084359</v>
      </c>
      <c r="J3" s="14">
        <v>134.7293546675921</v>
      </c>
      <c r="K3" s="14">
        <v>166.84666666699999</v>
      </c>
      <c r="L3" s="14">
        <v>140.97</v>
      </c>
    </row>
    <row r="4" spans="1:12" x14ac:dyDescent="0.25">
      <c r="A4" s="15">
        <v>43070</v>
      </c>
      <c r="B4" s="5" t="s">
        <v>25</v>
      </c>
      <c r="C4" s="14">
        <v>162.51</v>
      </c>
      <c r="D4" s="14">
        <v>179.2849271874997</v>
      </c>
      <c r="E4" s="14">
        <v>161.56666666666669</v>
      </c>
      <c r="F4" s="14">
        <v>185.8156388840882</v>
      </c>
      <c r="G4" s="14">
        <v>157.33908186947221</v>
      </c>
      <c r="H4" s="14">
        <v>158.31304319474819</v>
      </c>
      <c r="I4" s="14">
        <v>161.778352850017</v>
      </c>
      <c r="J4" s="14">
        <v>163.1866888943434</v>
      </c>
      <c r="K4" s="14">
        <v>172.66</v>
      </c>
      <c r="L4" s="14">
        <v>163.85</v>
      </c>
    </row>
    <row r="5" spans="1:12" x14ac:dyDescent="0.25">
      <c r="A5" s="15">
        <v>43101</v>
      </c>
      <c r="B5" s="5" t="s">
        <v>25</v>
      </c>
      <c r="C5" s="14">
        <v>151.44</v>
      </c>
      <c r="D5" s="14">
        <v>178.8523483552506</v>
      </c>
      <c r="E5" s="14">
        <v>161.86000000000001</v>
      </c>
      <c r="F5" s="14">
        <v>190.71461284152119</v>
      </c>
      <c r="G5" s="14">
        <v>159.9468296650316</v>
      </c>
      <c r="H5" s="14">
        <v>161.00135604794031</v>
      </c>
      <c r="I5" s="14">
        <v>169.3938342032946</v>
      </c>
      <c r="J5" s="14">
        <v>171.03637855399001</v>
      </c>
      <c r="K5" s="14">
        <v>184.53</v>
      </c>
      <c r="L5" s="14">
        <v>162.51</v>
      </c>
    </row>
    <row r="6" spans="1:12" x14ac:dyDescent="0.25">
      <c r="A6" s="15">
        <v>43132</v>
      </c>
      <c r="B6" s="5" t="s">
        <v>25</v>
      </c>
      <c r="C6" s="14">
        <v>128.36000000000001</v>
      </c>
      <c r="D6" s="14">
        <v>160.35613026095101</v>
      </c>
      <c r="E6" s="14">
        <v>142.20788793103449</v>
      </c>
      <c r="F6" s="14">
        <v>165.54136166490741</v>
      </c>
      <c r="G6" s="14">
        <v>140.6677779062091</v>
      </c>
      <c r="H6" s="14">
        <v>141.5417477137751</v>
      </c>
      <c r="I6" s="14">
        <v>139.6585124481621</v>
      </c>
      <c r="J6" s="14">
        <v>140.5599246197981</v>
      </c>
      <c r="K6" s="14">
        <v>151.98500000000001</v>
      </c>
      <c r="L6" s="14">
        <v>151.44</v>
      </c>
    </row>
    <row r="7" spans="1:12" x14ac:dyDescent="0.25">
      <c r="A7" s="15">
        <v>43160</v>
      </c>
      <c r="B7" s="5" t="s">
        <v>25</v>
      </c>
      <c r="C7" s="14">
        <v>146.16</v>
      </c>
      <c r="D7" s="14">
        <v>175.55860755493379</v>
      </c>
      <c r="E7" s="14">
        <v>153.24249999999989</v>
      </c>
      <c r="F7" s="14">
        <v>176.13562599206381</v>
      </c>
      <c r="G7" s="14">
        <v>149.06137129838081</v>
      </c>
      <c r="H7" s="14">
        <v>149.76354478250551</v>
      </c>
      <c r="I7" s="14">
        <v>143.28483508527731</v>
      </c>
      <c r="J7" s="14">
        <v>143.9036127807729</v>
      </c>
      <c r="K7" s="14">
        <v>162.85</v>
      </c>
      <c r="L7" s="14">
        <v>128.36000000000001</v>
      </c>
    </row>
    <row r="8" spans="1:12" x14ac:dyDescent="0.25">
      <c r="A8" s="15">
        <v>43191</v>
      </c>
      <c r="B8" s="5" t="s">
        <v>25</v>
      </c>
      <c r="C8" s="14">
        <v>171.02</v>
      </c>
      <c r="D8" s="14">
        <v>168.41118334169749</v>
      </c>
      <c r="E8" s="14">
        <v>151.125</v>
      </c>
      <c r="F8" s="14">
        <v>171.34572670250779</v>
      </c>
      <c r="G8" s="14">
        <v>142.8533494444535</v>
      </c>
      <c r="H8" s="14">
        <v>143.4248815258687</v>
      </c>
      <c r="I8" s="14">
        <v>142.70475824559281</v>
      </c>
      <c r="J8" s="14">
        <v>143.29947948236429</v>
      </c>
      <c r="K8" s="14">
        <v>160.61000000000001</v>
      </c>
      <c r="L8" s="14">
        <v>146.16</v>
      </c>
    </row>
    <row r="9" spans="1:12" x14ac:dyDescent="0.25">
      <c r="A9" s="15">
        <v>43221</v>
      </c>
      <c r="B9" s="5" t="s">
        <v>25</v>
      </c>
      <c r="C9" s="14">
        <v>160.52000000000001</v>
      </c>
      <c r="D9" s="14">
        <v>174.9377992839965</v>
      </c>
      <c r="E9" s="14">
        <v>144.625</v>
      </c>
      <c r="F9" s="14">
        <v>165.4987144097212</v>
      </c>
      <c r="G9" s="14">
        <v>161.54651749944529</v>
      </c>
      <c r="H9" s="14">
        <v>162.57280100370099</v>
      </c>
      <c r="I9" s="14">
        <v>150.8189376567864</v>
      </c>
      <c r="J9" s="14">
        <v>151.8193909195837</v>
      </c>
      <c r="K9" s="14">
        <v>143.66</v>
      </c>
      <c r="L9" s="14">
        <v>171.02</v>
      </c>
    </row>
    <row r="10" spans="1:12" x14ac:dyDescent="0.25">
      <c r="A10" s="15">
        <v>43252</v>
      </c>
      <c r="B10" s="5" t="s">
        <v>25</v>
      </c>
      <c r="C10" s="14">
        <v>141.18</v>
      </c>
      <c r="D10" s="14">
        <v>168.93007232206941</v>
      </c>
      <c r="E10" s="14">
        <v>138.98500000000001</v>
      </c>
      <c r="F10" s="14">
        <v>158.90195050600661</v>
      </c>
      <c r="G10" s="14">
        <v>155.84912071468</v>
      </c>
      <c r="H10" s="14">
        <v>156.87541270286081</v>
      </c>
      <c r="I10" s="14">
        <v>149.6091457424611</v>
      </c>
      <c r="J10" s="14">
        <v>150.6855819295628</v>
      </c>
      <c r="K10" s="14">
        <v>122.33</v>
      </c>
      <c r="L10" s="14">
        <v>160.52000000000001</v>
      </c>
    </row>
    <row r="11" spans="1:12" x14ac:dyDescent="0.25">
      <c r="A11" s="15">
        <v>43282</v>
      </c>
      <c r="B11" s="5" t="s">
        <v>25</v>
      </c>
      <c r="C11" s="14">
        <v>150.18</v>
      </c>
      <c r="D11" s="14">
        <v>173.11818037248869</v>
      </c>
      <c r="E11" s="14">
        <v>159.37333333325</v>
      </c>
      <c r="F11" s="14">
        <v>178.93681095670499</v>
      </c>
      <c r="G11" s="14">
        <v>153.93636302226781</v>
      </c>
      <c r="H11" s="14">
        <v>154.84188024173099</v>
      </c>
      <c r="I11" s="14">
        <v>164.99000965146061</v>
      </c>
      <c r="J11" s="14">
        <v>166.1130455107137</v>
      </c>
      <c r="K11" s="14">
        <v>150.29499999999999</v>
      </c>
      <c r="L11" s="14">
        <v>141.18</v>
      </c>
    </row>
    <row r="12" spans="1:12" x14ac:dyDescent="0.25">
      <c r="A12" s="15">
        <v>43313</v>
      </c>
      <c r="B12" s="5" t="s">
        <v>25</v>
      </c>
      <c r="C12" s="14">
        <v>140</v>
      </c>
      <c r="D12" s="14">
        <v>172.0732048782879</v>
      </c>
      <c r="E12" s="14">
        <v>171.94</v>
      </c>
      <c r="F12" s="14">
        <v>189.98996125731151</v>
      </c>
      <c r="G12" s="14">
        <v>152.17400059101971</v>
      </c>
      <c r="H12" s="14">
        <v>152.97125392387619</v>
      </c>
      <c r="I12" s="14">
        <v>169.22578036187761</v>
      </c>
      <c r="J12" s="14">
        <v>170.1831264032962</v>
      </c>
      <c r="K12" s="14">
        <v>170.15</v>
      </c>
      <c r="L12" s="14">
        <v>150.18</v>
      </c>
    </row>
    <row r="13" spans="1:12" x14ac:dyDescent="0.25">
      <c r="A13" s="15">
        <v>43344</v>
      </c>
      <c r="B13" s="5" t="s">
        <v>25</v>
      </c>
      <c r="C13" s="14">
        <v>153.52000000000001</v>
      </c>
      <c r="D13" s="14">
        <v>164.86532197872859</v>
      </c>
      <c r="E13" s="14">
        <v>146.57249999999999</v>
      </c>
      <c r="F13" s="14">
        <v>161.62133534946381</v>
      </c>
      <c r="G13" s="14">
        <v>141.67606295775741</v>
      </c>
      <c r="H13" s="14">
        <v>142.19923942418961</v>
      </c>
      <c r="I13" s="14">
        <v>127.7542746191677</v>
      </c>
      <c r="J13" s="14">
        <v>128.07817843267401</v>
      </c>
      <c r="K13" s="14">
        <v>138.33000000000001</v>
      </c>
      <c r="L13" s="14">
        <v>140</v>
      </c>
    </row>
    <row r="14" spans="1:12" x14ac:dyDescent="0.25">
      <c r="A14" s="15">
        <v>43374</v>
      </c>
      <c r="B14" s="5" t="s">
        <v>25</v>
      </c>
      <c r="C14" s="14">
        <v>144.71</v>
      </c>
      <c r="D14" s="14">
        <v>170.05641406017719</v>
      </c>
      <c r="E14" s="14">
        <v>155.49</v>
      </c>
      <c r="F14" s="14">
        <v>170.6418260582019</v>
      </c>
      <c r="G14" s="14">
        <v>152.14645782896179</v>
      </c>
      <c r="H14" s="14">
        <v>152.86507856031031</v>
      </c>
      <c r="I14" s="14">
        <v>150.00526057379989</v>
      </c>
      <c r="J14" s="14">
        <v>150.81981517932911</v>
      </c>
      <c r="K14" s="14">
        <v>140.97</v>
      </c>
      <c r="L14" s="14">
        <v>153.52000000000001</v>
      </c>
    </row>
    <row r="15" spans="1:12" x14ac:dyDescent="0.25">
      <c r="A15" s="15">
        <v>43405</v>
      </c>
      <c r="B15" s="5" t="s">
        <v>25</v>
      </c>
      <c r="C15" s="14">
        <v>172.29</v>
      </c>
      <c r="D15" s="14">
        <v>163.36005657627521</v>
      </c>
      <c r="E15" s="14">
        <v>152.88916666674999</v>
      </c>
      <c r="F15" s="14">
        <v>166.4115279815114</v>
      </c>
      <c r="G15" s="14">
        <v>143.9198931818654</v>
      </c>
      <c r="H15" s="14">
        <v>144.50138395932589</v>
      </c>
      <c r="I15" s="14">
        <v>144.65234818826539</v>
      </c>
      <c r="J15" s="14">
        <v>145.3775704895979</v>
      </c>
      <c r="K15" s="14">
        <v>163.85</v>
      </c>
      <c r="L15" s="14">
        <v>144.71</v>
      </c>
    </row>
    <row r="16" spans="1:12" x14ac:dyDescent="0.25">
      <c r="A16" s="15">
        <v>43435</v>
      </c>
      <c r="B16" s="5" t="s">
        <v>25</v>
      </c>
      <c r="C16" s="14">
        <v>167.88</v>
      </c>
      <c r="D16" s="14">
        <v>169.88355723894111</v>
      </c>
      <c r="E16" s="14">
        <v>161.80250000000001</v>
      </c>
      <c r="F16" s="14">
        <v>176.0397119565213</v>
      </c>
      <c r="G16" s="14">
        <v>162.01269297520199</v>
      </c>
      <c r="H16" s="14">
        <v>162.9721541652419</v>
      </c>
      <c r="I16" s="14">
        <v>166.8183463621418</v>
      </c>
      <c r="J16" s="14">
        <v>167.95740666421071</v>
      </c>
      <c r="K16" s="14">
        <v>162.51</v>
      </c>
      <c r="L16" s="14">
        <v>172.29</v>
      </c>
    </row>
    <row r="17" spans="1:12" x14ac:dyDescent="0.25">
      <c r="A17" s="15">
        <v>43466</v>
      </c>
      <c r="B17" s="5" t="s">
        <v>25</v>
      </c>
      <c r="C17" s="14">
        <v>184.71</v>
      </c>
      <c r="D17" s="14">
        <v>170.21819165746939</v>
      </c>
      <c r="E17" s="14">
        <v>159.77600000000001</v>
      </c>
      <c r="F17" s="14">
        <v>176.45266874999979</v>
      </c>
      <c r="G17" s="14">
        <v>164.81175981129121</v>
      </c>
      <c r="H17" s="14">
        <v>165.84673237919981</v>
      </c>
      <c r="I17" s="14">
        <v>170.0721872393145</v>
      </c>
      <c r="J17" s="14">
        <v>171.42268314985759</v>
      </c>
      <c r="K17" s="14">
        <v>151.44</v>
      </c>
      <c r="L17" s="14">
        <v>167.88</v>
      </c>
    </row>
    <row r="18" spans="1:12" x14ac:dyDescent="0.25">
      <c r="A18" s="15">
        <v>43497</v>
      </c>
      <c r="B18" s="5" t="s">
        <v>25</v>
      </c>
      <c r="C18" s="14">
        <v>133.72999999999999</v>
      </c>
      <c r="D18" s="14">
        <v>155.02371120897561</v>
      </c>
      <c r="E18" s="14">
        <v>139.43831034482761</v>
      </c>
      <c r="F18" s="14">
        <v>154.93982761237919</v>
      </c>
      <c r="G18" s="14">
        <v>157.63452977065</v>
      </c>
      <c r="H18" s="14">
        <v>158.67428732811319</v>
      </c>
      <c r="I18" s="14">
        <v>155.09981773716001</v>
      </c>
      <c r="J18" s="14">
        <v>156.27865150708021</v>
      </c>
      <c r="K18" s="14">
        <v>128.36000000000001</v>
      </c>
      <c r="L18" s="14">
        <v>184.71</v>
      </c>
    </row>
    <row r="19" spans="1:12" x14ac:dyDescent="0.25">
      <c r="A19" s="15">
        <v>43525</v>
      </c>
      <c r="B19" s="5" t="s">
        <v>25</v>
      </c>
      <c r="C19" s="14">
        <v>154.52000000000001</v>
      </c>
      <c r="D19" s="14">
        <v>170.60032626777561</v>
      </c>
      <c r="E19" s="14">
        <v>151.82599999999999</v>
      </c>
      <c r="F19" s="14">
        <v>167.6838213875202</v>
      </c>
      <c r="G19" s="14">
        <v>162.20214237030081</v>
      </c>
      <c r="H19" s="14">
        <v>163.40058708763999</v>
      </c>
      <c r="I19" s="14">
        <v>156.8779532097806</v>
      </c>
      <c r="J19" s="14">
        <v>158.051284479537</v>
      </c>
      <c r="K19" s="14">
        <v>146.16</v>
      </c>
      <c r="L19" s="14">
        <v>133.72999999999999</v>
      </c>
    </row>
    <row r="20" spans="1:12" x14ac:dyDescent="0.25">
      <c r="A20" s="15">
        <v>43556</v>
      </c>
      <c r="B20" s="5" t="s">
        <v>25</v>
      </c>
      <c r="C20" s="14">
        <v>169.4</v>
      </c>
      <c r="D20" s="14">
        <v>164.5461778682774</v>
      </c>
      <c r="E20" s="14">
        <v>155.10400000000001</v>
      </c>
      <c r="F20" s="14">
        <v>169.77979549959349</v>
      </c>
      <c r="G20" s="14">
        <v>153.65336933411751</v>
      </c>
      <c r="H20" s="14">
        <v>154.68232750480371</v>
      </c>
      <c r="I20" s="14">
        <v>158.4278280671632</v>
      </c>
      <c r="J20" s="14">
        <v>159.44613989228151</v>
      </c>
      <c r="K20" s="14">
        <v>171.02</v>
      </c>
      <c r="L20" s="14">
        <v>154.52000000000001</v>
      </c>
    </row>
    <row r="21" spans="1:12" x14ac:dyDescent="0.25">
      <c r="A21" s="15">
        <v>43586</v>
      </c>
      <c r="B21" s="5" t="s">
        <v>25</v>
      </c>
      <c r="C21" s="14">
        <v>168.04</v>
      </c>
      <c r="D21" s="14">
        <v>170.77229471209199</v>
      </c>
      <c r="E21" s="14">
        <v>147.804</v>
      </c>
      <c r="F21" s="14">
        <v>162.94936591543481</v>
      </c>
      <c r="G21" s="14">
        <v>165.93149429253111</v>
      </c>
      <c r="H21" s="14">
        <v>167.0855376023207</v>
      </c>
      <c r="I21" s="14">
        <v>156.17797592821819</v>
      </c>
      <c r="J21" s="14">
        <v>157.27136519535981</v>
      </c>
      <c r="K21" s="14">
        <v>160.52000000000001</v>
      </c>
      <c r="L21" s="14">
        <v>169.4</v>
      </c>
    </row>
    <row r="22" spans="1:12" x14ac:dyDescent="0.25">
      <c r="A22" s="15">
        <v>43617</v>
      </c>
      <c r="B22" s="5" t="s">
        <v>25</v>
      </c>
      <c r="C22" s="14">
        <v>151.54</v>
      </c>
      <c r="D22" s="14">
        <v>165.52176367393821</v>
      </c>
      <c r="E22" s="14">
        <v>139.42400000000001</v>
      </c>
      <c r="F22" s="14">
        <v>154.3153971570824</v>
      </c>
      <c r="G22" s="14">
        <v>161.47535449477201</v>
      </c>
      <c r="H22" s="14">
        <v>162.62112305632331</v>
      </c>
      <c r="I22" s="14">
        <v>152.51235646881051</v>
      </c>
      <c r="J22" s="14">
        <v>153.63172387427059</v>
      </c>
      <c r="K22" s="14">
        <v>141.18</v>
      </c>
      <c r="L22" s="14">
        <v>168.04</v>
      </c>
    </row>
    <row r="23" spans="1:12" x14ac:dyDescent="0.25">
      <c r="A23" s="15">
        <v>43647</v>
      </c>
      <c r="B23" s="5" t="s">
        <v>25</v>
      </c>
      <c r="C23" s="14">
        <v>181</v>
      </c>
      <c r="D23" s="14">
        <v>170.59471109873729</v>
      </c>
      <c r="E23" s="14">
        <v>157.5346666666</v>
      </c>
      <c r="F23" s="14">
        <v>172.79208416547999</v>
      </c>
      <c r="G23" s="14">
        <v>162.38771979777451</v>
      </c>
      <c r="H23" s="14">
        <v>163.5287768978348</v>
      </c>
      <c r="I23" s="14">
        <v>169.94511528232019</v>
      </c>
      <c r="J23" s="14">
        <v>171.16392197111361</v>
      </c>
      <c r="K23" s="14">
        <v>150.18</v>
      </c>
      <c r="L23" s="14">
        <v>151.54</v>
      </c>
    </row>
    <row r="24" spans="1:12" x14ac:dyDescent="0.25">
      <c r="A24" s="15">
        <v>43678</v>
      </c>
      <c r="B24" s="5" t="s">
        <v>25</v>
      </c>
      <c r="C24" s="14">
        <v>181.91</v>
      </c>
      <c r="D24" s="14">
        <v>171.62749972428691</v>
      </c>
      <c r="E24" s="14">
        <v>165.55199999999999</v>
      </c>
      <c r="F24" s="14">
        <v>181.1662834047296</v>
      </c>
      <c r="G24" s="14">
        <v>170.4012458325567</v>
      </c>
      <c r="H24" s="14">
        <v>171.61231394627541</v>
      </c>
      <c r="I24" s="14">
        <v>182.67594886906491</v>
      </c>
      <c r="J24" s="14">
        <v>183.95018407235059</v>
      </c>
      <c r="K24" s="14">
        <v>140</v>
      </c>
      <c r="L24" s="14">
        <v>181</v>
      </c>
    </row>
    <row r="25" spans="1:12" x14ac:dyDescent="0.25">
      <c r="A25" s="15">
        <v>43709</v>
      </c>
      <c r="B25" s="5" t="s">
        <v>25</v>
      </c>
      <c r="C25" s="14">
        <v>161.07</v>
      </c>
      <c r="D25" s="14">
        <v>167.08803214789651</v>
      </c>
      <c r="E25" s="14">
        <v>147.96199999999999</v>
      </c>
      <c r="F25" s="14">
        <v>163.10258541567521</v>
      </c>
      <c r="G25" s="14">
        <v>169.82390593622139</v>
      </c>
      <c r="H25" s="14">
        <v>171.03841931296989</v>
      </c>
      <c r="I25" s="14">
        <v>163.49395613904031</v>
      </c>
      <c r="J25" s="14">
        <v>164.80544859573689</v>
      </c>
      <c r="K25" s="14">
        <v>153.52000000000001</v>
      </c>
      <c r="L25" s="14">
        <v>181.91</v>
      </c>
    </row>
    <row r="26" spans="1:12" x14ac:dyDescent="0.25">
      <c r="A26" s="15">
        <v>43009</v>
      </c>
      <c r="B26" s="5" t="s">
        <v>32</v>
      </c>
      <c r="C26" s="14">
        <v>93.802999999999997</v>
      </c>
      <c r="D26" s="14">
        <v>133.35886950531591</v>
      </c>
      <c r="E26" s="14">
        <v>126.1726666666667</v>
      </c>
      <c r="F26" s="14">
        <v>137.8891085273188</v>
      </c>
      <c r="G26" s="14">
        <v>117.6558370580756</v>
      </c>
      <c r="H26" s="14">
        <v>118.3708772429912</v>
      </c>
      <c r="I26" s="14">
        <v>120.5921573258036</v>
      </c>
      <c r="J26" s="14">
        <v>112.53540214944159</v>
      </c>
      <c r="K26" s="14">
        <v>142.05600000000001</v>
      </c>
      <c r="L26" s="14">
        <v>118.711</v>
      </c>
    </row>
    <row r="27" spans="1:12" x14ac:dyDescent="0.25">
      <c r="A27" s="15">
        <v>43040</v>
      </c>
      <c r="B27" s="5" t="s">
        <v>32</v>
      </c>
      <c r="C27" s="14">
        <v>119.78</v>
      </c>
      <c r="D27" s="14">
        <v>126.12475951747631</v>
      </c>
      <c r="E27" s="14">
        <v>115.31433333333339</v>
      </c>
      <c r="F27" s="14">
        <v>124.282604567961</v>
      </c>
      <c r="G27" s="14">
        <v>106.0883466404979</v>
      </c>
      <c r="H27" s="14">
        <v>106.1214983196259</v>
      </c>
      <c r="I27" s="14">
        <v>101.8033541911628</v>
      </c>
      <c r="J27" s="14">
        <v>95.966721152958982</v>
      </c>
      <c r="K27" s="14">
        <v>116.85</v>
      </c>
      <c r="L27" s="14">
        <v>93.802999999999997</v>
      </c>
    </row>
    <row r="28" spans="1:12" x14ac:dyDescent="0.25">
      <c r="A28" s="15">
        <v>43070</v>
      </c>
      <c r="B28" s="5" t="s">
        <v>32</v>
      </c>
      <c r="C28" s="14">
        <v>123.762</v>
      </c>
      <c r="D28" s="14">
        <v>130.07085303510851</v>
      </c>
      <c r="E28" s="14">
        <v>134.9496666666667</v>
      </c>
      <c r="F28" s="14">
        <v>143.97200178175351</v>
      </c>
      <c r="G28" s="14">
        <v>114.5079377665627</v>
      </c>
      <c r="H28" s="14">
        <v>114.94174656894531</v>
      </c>
      <c r="I28" s="14">
        <v>126.2348920598232</v>
      </c>
      <c r="J28" s="14">
        <v>117.5951766507646</v>
      </c>
      <c r="K28" s="14">
        <v>140.05600000000001</v>
      </c>
      <c r="L28" s="14">
        <v>119.78</v>
      </c>
    </row>
    <row r="29" spans="1:12" x14ac:dyDescent="0.25">
      <c r="A29" s="15">
        <v>43101</v>
      </c>
      <c r="B29" s="5" t="s">
        <v>32</v>
      </c>
      <c r="C29" s="14">
        <v>116.28100000000001</v>
      </c>
      <c r="D29" s="14">
        <v>129.82759216131541</v>
      </c>
      <c r="E29" s="14">
        <v>134.96324999999999</v>
      </c>
      <c r="F29" s="14">
        <v>144.97804378249819</v>
      </c>
      <c r="G29" s="14">
        <v>117.35030373855609</v>
      </c>
      <c r="H29" s="14">
        <v>117.9754532944897</v>
      </c>
      <c r="I29" s="14">
        <v>131.3910218527821</v>
      </c>
      <c r="J29" s="14">
        <v>124.4204232322389</v>
      </c>
      <c r="K29" s="14">
        <v>156.56</v>
      </c>
      <c r="L29" s="14">
        <v>123.762</v>
      </c>
    </row>
    <row r="30" spans="1:12" x14ac:dyDescent="0.25">
      <c r="A30" s="15">
        <v>43132</v>
      </c>
      <c r="B30" s="5" t="s">
        <v>32</v>
      </c>
      <c r="C30" s="14">
        <v>132.804</v>
      </c>
      <c r="D30" s="14">
        <v>116.50540843700099</v>
      </c>
      <c r="E30" s="14">
        <v>126.88616379310341</v>
      </c>
      <c r="F30" s="14">
        <v>133.93794471349901</v>
      </c>
      <c r="G30" s="14">
        <v>105.69919078795699</v>
      </c>
      <c r="H30" s="14">
        <v>106.2355181840443</v>
      </c>
      <c r="I30" s="14">
        <v>119.4779532107891</v>
      </c>
      <c r="J30" s="14">
        <v>113.9551248630287</v>
      </c>
      <c r="K30" s="14">
        <v>124.96899999999999</v>
      </c>
      <c r="L30" s="14">
        <v>116.28100000000001</v>
      </c>
    </row>
    <row r="31" spans="1:12" x14ac:dyDescent="0.25">
      <c r="A31" s="15">
        <v>43160</v>
      </c>
      <c r="B31" s="5" t="s">
        <v>32</v>
      </c>
      <c r="C31" s="14">
        <v>111.764</v>
      </c>
      <c r="D31" s="14">
        <v>130.6649278465199</v>
      </c>
      <c r="E31" s="14">
        <v>124.745</v>
      </c>
      <c r="F31" s="14">
        <v>132.46265467687121</v>
      </c>
      <c r="G31" s="14">
        <v>126.2657407752112</v>
      </c>
      <c r="H31" s="14">
        <v>127.2548742046687</v>
      </c>
      <c r="I31" s="14">
        <v>120.42204290100101</v>
      </c>
      <c r="J31" s="14">
        <v>112.821993855324</v>
      </c>
      <c r="K31" s="14">
        <v>111.05500000000001</v>
      </c>
      <c r="L31" s="14">
        <v>132.804</v>
      </c>
    </row>
    <row r="32" spans="1:12" x14ac:dyDescent="0.25">
      <c r="A32" s="15">
        <v>43191</v>
      </c>
      <c r="B32" s="5" t="s">
        <v>32</v>
      </c>
      <c r="C32" s="14">
        <v>110.482</v>
      </c>
      <c r="D32" s="14">
        <v>125.2820982459189</v>
      </c>
      <c r="E32" s="14">
        <v>111.92925</v>
      </c>
      <c r="F32" s="14">
        <v>118.06255099846339</v>
      </c>
      <c r="G32" s="14">
        <v>117.6790528568515</v>
      </c>
      <c r="H32" s="14">
        <v>118.59980877410651</v>
      </c>
      <c r="I32" s="14">
        <v>105.2145222270302</v>
      </c>
      <c r="J32" s="14">
        <v>98.787802578957752</v>
      </c>
      <c r="K32" s="14">
        <v>105.261</v>
      </c>
      <c r="L32" s="14">
        <v>111.764</v>
      </c>
    </row>
    <row r="33" spans="1:12" x14ac:dyDescent="0.25">
      <c r="A33" s="15">
        <v>43221</v>
      </c>
      <c r="B33" s="5" t="s">
        <v>32</v>
      </c>
      <c r="C33" s="14">
        <v>103.52200000000001</v>
      </c>
      <c r="D33" s="14">
        <v>128.514653895935</v>
      </c>
      <c r="E33" s="14">
        <v>122.67400000000001</v>
      </c>
      <c r="F33" s="14">
        <v>128.52216711309441</v>
      </c>
      <c r="G33" s="14">
        <v>119.5187265923108</v>
      </c>
      <c r="H33" s="14">
        <v>120.3586133551855</v>
      </c>
      <c r="I33" s="14">
        <v>116.93353244802159</v>
      </c>
      <c r="J33" s="14">
        <v>110.73641606447011</v>
      </c>
      <c r="K33" s="14">
        <v>118.125</v>
      </c>
      <c r="L33" s="14">
        <v>110.482</v>
      </c>
    </row>
    <row r="34" spans="1:12" x14ac:dyDescent="0.25">
      <c r="A34" s="15">
        <v>43252</v>
      </c>
      <c r="B34" s="5" t="s">
        <v>32</v>
      </c>
      <c r="C34" s="14">
        <v>114.226</v>
      </c>
      <c r="D34" s="14">
        <v>122.73679818321649</v>
      </c>
      <c r="E34" s="14">
        <v>106.59175</v>
      </c>
      <c r="F34" s="14">
        <v>110.8281071428562</v>
      </c>
      <c r="G34" s="14">
        <v>111.3334023065494</v>
      </c>
      <c r="H34" s="14">
        <v>111.82667024084461</v>
      </c>
      <c r="I34" s="14">
        <v>97.325960185741238</v>
      </c>
      <c r="J34" s="14">
        <v>92.37955405968485</v>
      </c>
      <c r="K34" s="14">
        <v>103.006</v>
      </c>
      <c r="L34" s="14">
        <v>103.52200000000001</v>
      </c>
    </row>
    <row r="35" spans="1:12" x14ac:dyDescent="0.25">
      <c r="A35" s="15">
        <v>43282</v>
      </c>
      <c r="B35" s="5" t="s">
        <v>32</v>
      </c>
      <c r="C35" s="14">
        <v>132.54900000000001</v>
      </c>
      <c r="D35" s="14">
        <v>126.32379440020929</v>
      </c>
      <c r="E35" s="14">
        <v>116.51125</v>
      </c>
      <c r="F35" s="14">
        <v>121.0838832671934</v>
      </c>
      <c r="G35" s="14">
        <v>115.90564742305121</v>
      </c>
      <c r="H35" s="14">
        <v>116.4479594315066</v>
      </c>
      <c r="I35" s="14">
        <v>111.30254854693339</v>
      </c>
      <c r="J35" s="14">
        <v>106.7807701510945</v>
      </c>
      <c r="K35" s="14">
        <v>116.206</v>
      </c>
      <c r="L35" s="14">
        <v>114.226</v>
      </c>
    </row>
    <row r="36" spans="1:12" x14ac:dyDescent="0.25">
      <c r="A36" s="15">
        <v>43313</v>
      </c>
      <c r="B36" s="5" t="s">
        <v>32</v>
      </c>
      <c r="C36" s="14">
        <v>114.71899999999999</v>
      </c>
      <c r="D36" s="14">
        <v>126.90598339868311</v>
      </c>
      <c r="E36" s="14">
        <v>117.786</v>
      </c>
      <c r="F36" s="14">
        <v>122.96206046365749</v>
      </c>
      <c r="G36" s="14">
        <v>120.4386807400485</v>
      </c>
      <c r="H36" s="14">
        <v>121.26286560602099</v>
      </c>
      <c r="I36" s="14">
        <v>117.84635130823671</v>
      </c>
      <c r="J36" s="14">
        <v>115.9703104383312</v>
      </c>
      <c r="K36" s="14">
        <v>112.47</v>
      </c>
      <c r="L36" s="14">
        <v>132.54900000000001</v>
      </c>
    </row>
    <row r="37" spans="1:12" x14ac:dyDescent="0.25">
      <c r="A37" s="15">
        <v>43344</v>
      </c>
      <c r="B37" s="5" t="s">
        <v>32</v>
      </c>
      <c r="C37" s="14">
        <v>114.992</v>
      </c>
      <c r="D37" s="14">
        <v>122.10683069169831</v>
      </c>
      <c r="E37" s="14">
        <v>122.03625</v>
      </c>
      <c r="F37" s="14">
        <v>126.64648300691</v>
      </c>
      <c r="G37" s="14">
        <v>115.0622290492483</v>
      </c>
      <c r="H37" s="14">
        <v>115.7761963192479</v>
      </c>
      <c r="I37" s="14">
        <v>120.8793808123734</v>
      </c>
      <c r="J37" s="14">
        <v>121.1618611642371</v>
      </c>
      <c r="K37" s="14">
        <v>118.711</v>
      </c>
      <c r="L37" s="14">
        <v>114.71899999999999</v>
      </c>
    </row>
    <row r="38" spans="1:12" x14ac:dyDescent="0.25">
      <c r="A38" s="15">
        <v>43374</v>
      </c>
      <c r="B38" s="5" t="s">
        <v>32</v>
      </c>
      <c r="C38" s="14">
        <v>129.4</v>
      </c>
      <c r="D38" s="14">
        <v>125.7797950716796</v>
      </c>
      <c r="E38" s="14">
        <v>118.08025000000001</v>
      </c>
      <c r="F38" s="14">
        <v>122.27068287981579</v>
      </c>
      <c r="G38" s="14">
        <v>118.87829363218729</v>
      </c>
      <c r="H38" s="14">
        <v>119.6013642631096</v>
      </c>
      <c r="I38" s="14">
        <v>114.91463229284309</v>
      </c>
      <c r="J38" s="14">
        <v>116.4598852082147</v>
      </c>
      <c r="K38" s="14">
        <v>93.802999999999997</v>
      </c>
      <c r="L38" s="14">
        <v>114.992</v>
      </c>
    </row>
    <row r="39" spans="1:12" x14ac:dyDescent="0.25">
      <c r="A39" s="15">
        <v>43405</v>
      </c>
      <c r="B39" s="5" t="s">
        <v>32</v>
      </c>
      <c r="C39" s="14">
        <v>105.48699999999999</v>
      </c>
      <c r="D39" s="14">
        <v>122.0659232059475</v>
      </c>
      <c r="E39" s="14">
        <v>116.43075</v>
      </c>
      <c r="F39" s="14">
        <v>120.7996139505636</v>
      </c>
      <c r="G39" s="14">
        <v>117.76078568955</v>
      </c>
      <c r="H39" s="14">
        <v>118.5916508683993</v>
      </c>
      <c r="I39" s="14">
        <v>116.63914218979821</v>
      </c>
      <c r="J39" s="14">
        <v>119.42326079780059</v>
      </c>
      <c r="K39" s="14">
        <v>119.78</v>
      </c>
      <c r="L39" s="14">
        <v>129.4</v>
      </c>
    </row>
    <row r="40" spans="1:12" x14ac:dyDescent="0.25">
      <c r="A40" s="15">
        <v>43435</v>
      </c>
      <c r="B40" s="5" t="s">
        <v>32</v>
      </c>
      <c r="C40" s="14">
        <v>122.267</v>
      </c>
      <c r="D40" s="14">
        <v>125.08499648651291</v>
      </c>
      <c r="E40" s="14">
        <v>132.15275</v>
      </c>
      <c r="F40" s="14">
        <v>135.9792847308498</v>
      </c>
      <c r="G40" s="14">
        <v>118.32962390349979</v>
      </c>
      <c r="H40" s="14">
        <v>119.0221200485007</v>
      </c>
      <c r="I40" s="14">
        <v>128.97310748792299</v>
      </c>
      <c r="J40" s="14">
        <v>132.70693267446401</v>
      </c>
      <c r="K40" s="14">
        <v>123.762</v>
      </c>
      <c r="L40" s="14">
        <v>105.48699999999999</v>
      </c>
    </row>
    <row r="41" spans="1:12" x14ac:dyDescent="0.25">
      <c r="A41" s="15">
        <v>43466</v>
      </c>
      <c r="B41" s="5" t="s">
        <v>32</v>
      </c>
      <c r="C41" s="14">
        <v>207.63900000000001</v>
      </c>
      <c r="D41" s="14">
        <v>124.979763982355</v>
      </c>
      <c r="E41" s="14">
        <v>131.2268</v>
      </c>
      <c r="F41" s="14">
        <v>135.13302744047701</v>
      </c>
      <c r="G41" s="14">
        <v>119.3556349314786</v>
      </c>
      <c r="H41" s="14">
        <v>120.09119055829611</v>
      </c>
      <c r="I41" s="14">
        <v>130.22850868556139</v>
      </c>
      <c r="J41" s="14">
        <v>135.17885080595181</v>
      </c>
      <c r="K41" s="14">
        <v>116.28100000000001</v>
      </c>
      <c r="L41" s="14">
        <v>122.267</v>
      </c>
    </row>
    <row r="42" spans="1:12" x14ac:dyDescent="0.25">
      <c r="A42" s="15">
        <v>43497</v>
      </c>
      <c r="B42" s="5" t="s">
        <v>32</v>
      </c>
      <c r="C42" s="14">
        <v>142.155</v>
      </c>
      <c r="D42" s="14">
        <v>117.85114736920811</v>
      </c>
      <c r="E42" s="14">
        <v>128.06973103448269</v>
      </c>
      <c r="F42" s="14">
        <v>135.4502462020977</v>
      </c>
      <c r="G42" s="14">
        <v>128.71993405033419</v>
      </c>
      <c r="H42" s="14">
        <v>129.57228849735219</v>
      </c>
      <c r="I42" s="14">
        <v>145.38385683920541</v>
      </c>
      <c r="J42" s="14">
        <v>149.288336547168</v>
      </c>
      <c r="K42" s="14">
        <v>132.804</v>
      </c>
      <c r="L42" s="14">
        <v>207.63900000000001</v>
      </c>
    </row>
    <row r="43" spans="1:12" x14ac:dyDescent="0.25">
      <c r="A43" s="15">
        <v>43525</v>
      </c>
      <c r="B43" s="5" t="s">
        <v>32</v>
      </c>
      <c r="C43" s="14">
        <v>113.11799999999999</v>
      </c>
      <c r="D43" s="14">
        <v>132.42319550398179</v>
      </c>
      <c r="E43" s="14">
        <v>122.14879999999999</v>
      </c>
      <c r="F43" s="14">
        <v>130.73248022076271</v>
      </c>
      <c r="G43" s="14">
        <v>150.16914059417829</v>
      </c>
      <c r="H43" s="14">
        <v>150.88113404699669</v>
      </c>
      <c r="I43" s="14">
        <v>139.42004024499161</v>
      </c>
      <c r="J43" s="14">
        <v>146.65794030690591</v>
      </c>
      <c r="K43" s="14">
        <v>111.764</v>
      </c>
      <c r="L43" s="14">
        <v>142.155</v>
      </c>
    </row>
    <row r="44" spans="1:12" x14ac:dyDescent="0.25">
      <c r="A44" s="15">
        <v>43556</v>
      </c>
      <c r="B44" s="5" t="s">
        <v>32</v>
      </c>
      <c r="C44" s="14">
        <v>112.123</v>
      </c>
      <c r="D44" s="14">
        <v>127.2076953894838</v>
      </c>
      <c r="E44" s="14">
        <v>111.63979999999999</v>
      </c>
      <c r="F44" s="14">
        <v>119.04941514297469</v>
      </c>
      <c r="G44" s="14">
        <v>132.14321750068891</v>
      </c>
      <c r="H44" s="14">
        <v>133.6743789156879</v>
      </c>
      <c r="I44" s="14">
        <v>120.90636006784349</v>
      </c>
      <c r="J44" s="14">
        <v>129.321606356063</v>
      </c>
      <c r="K44" s="14">
        <v>110.482</v>
      </c>
      <c r="L44" s="14">
        <v>113.11799999999999</v>
      </c>
    </row>
    <row r="45" spans="1:12" x14ac:dyDescent="0.25">
      <c r="A45" s="15">
        <v>43586</v>
      </c>
      <c r="B45" s="5" t="s">
        <v>32</v>
      </c>
      <c r="C45" s="14">
        <v>97.257999999999996</v>
      </c>
      <c r="D45" s="14">
        <v>130.6954871195461</v>
      </c>
      <c r="E45" s="14">
        <v>118.8436</v>
      </c>
      <c r="F45" s="14">
        <v>126.1423375320184</v>
      </c>
      <c r="G45" s="14">
        <v>131.67896819111701</v>
      </c>
      <c r="H45" s="14">
        <v>133.44184586201169</v>
      </c>
      <c r="I45" s="14">
        <v>125.8918106222804</v>
      </c>
      <c r="J45" s="14">
        <v>128.04294535185491</v>
      </c>
      <c r="K45" s="14">
        <v>103.52200000000001</v>
      </c>
      <c r="L45" s="14">
        <v>112.123</v>
      </c>
    </row>
    <row r="46" spans="1:12" x14ac:dyDescent="0.25">
      <c r="A46" s="15">
        <v>43617</v>
      </c>
      <c r="B46" s="5" t="s">
        <v>32</v>
      </c>
      <c r="C46" s="14">
        <v>101.627</v>
      </c>
      <c r="D46" s="14">
        <v>124.6810342589141</v>
      </c>
      <c r="E46" s="14">
        <v>108.1186</v>
      </c>
      <c r="F46" s="14">
        <v>113.85081892352039</v>
      </c>
      <c r="G46" s="14">
        <v>120.75033717802739</v>
      </c>
      <c r="H46" s="14">
        <v>122.4171236081137</v>
      </c>
      <c r="I46" s="14">
        <v>108.48866024364619</v>
      </c>
      <c r="J46" s="14">
        <v>110.3954212656768</v>
      </c>
      <c r="K46" s="14">
        <v>114.226</v>
      </c>
      <c r="L46" s="14">
        <v>97.257999999999996</v>
      </c>
    </row>
    <row r="47" spans="1:12" x14ac:dyDescent="0.25">
      <c r="A47" s="15">
        <v>43647</v>
      </c>
      <c r="B47" s="5" t="s">
        <v>32</v>
      </c>
      <c r="C47" s="14">
        <v>103.541</v>
      </c>
      <c r="D47" s="14">
        <v>127.54578814358059</v>
      </c>
      <c r="E47" s="14">
        <v>119.7188</v>
      </c>
      <c r="F47" s="14">
        <v>125.0679438169862</v>
      </c>
      <c r="G47" s="14">
        <v>120.4506709397905</v>
      </c>
      <c r="H47" s="14">
        <v>121.84823604338651</v>
      </c>
      <c r="I47" s="14">
        <v>118.1288143676402</v>
      </c>
      <c r="J47" s="14">
        <v>119.9036318260073</v>
      </c>
      <c r="K47" s="14">
        <v>132.54900000000001</v>
      </c>
      <c r="L47" s="14">
        <v>101.627</v>
      </c>
    </row>
    <row r="48" spans="1:12" x14ac:dyDescent="0.25">
      <c r="A48" s="15">
        <v>43678</v>
      </c>
      <c r="B48" s="5" t="s">
        <v>32</v>
      </c>
      <c r="C48" s="14">
        <v>88.269000000000005</v>
      </c>
      <c r="D48" s="14">
        <v>126.2328502647977</v>
      </c>
      <c r="E48" s="14">
        <v>117.1726</v>
      </c>
      <c r="F48" s="14">
        <v>121.5857897379868</v>
      </c>
      <c r="G48" s="14">
        <v>115.6930571844924</v>
      </c>
      <c r="H48" s="14">
        <v>116.4816509562033</v>
      </c>
      <c r="I48" s="14">
        <v>111.74400625374859</v>
      </c>
      <c r="J48" s="14">
        <v>113.2102714747092</v>
      </c>
      <c r="K48" s="14">
        <v>114.71899999999999</v>
      </c>
      <c r="L48" s="14">
        <v>103.541</v>
      </c>
    </row>
    <row r="49" spans="1:12" x14ac:dyDescent="0.25">
      <c r="A49" s="15">
        <v>43709</v>
      </c>
      <c r="B49" s="5" t="s">
        <v>32</v>
      </c>
      <c r="C49" s="14">
        <v>111.437</v>
      </c>
      <c r="D49" s="14">
        <v>120.08540654066481</v>
      </c>
      <c r="E49" s="14">
        <v>120.62739999999999</v>
      </c>
      <c r="F49" s="14">
        <v>123.5548098376496</v>
      </c>
      <c r="G49" s="14">
        <v>101.6194248633428</v>
      </c>
      <c r="H49" s="14">
        <v>101.29972069128181</v>
      </c>
      <c r="I49" s="14">
        <v>108.9303588905254</v>
      </c>
      <c r="J49" s="14">
        <v>109.83061238342979</v>
      </c>
      <c r="K49" s="14">
        <v>114.992</v>
      </c>
      <c r="L49" s="14">
        <v>88.269000000000005</v>
      </c>
    </row>
    <row r="50" spans="1:12" x14ac:dyDescent="0.25">
      <c r="A50" s="15">
        <v>43009</v>
      </c>
      <c r="B50" s="5" t="s">
        <v>37</v>
      </c>
      <c r="C50" s="14">
        <v>102.4</v>
      </c>
      <c r="D50" s="14">
        <v>111.6666794729103</v>
      </c>
      <c r="E50" s="14">
        <v>149.65</v>
      </c>
      <c r="F50" s="14">
        <v>132.06954399692171</v>
      </c>
      <c r="G50" s="14">
        <v>89.702260974300017</v>
      </c>
      <c r="H50" s="14">
        <v>86.519202689586791</v>
      </c>
      <c r="I50" s="14">
        <v>116.81014738456859</v>
      </c>
      <c r="J50" s="14">
        <v>113.7099053448577</v>
      </c>
      <c r="K50" s="14">
        <v>160.15</v>
      </c>
      <c r="L50" s="14">
        <v>88.15</v>
      </c>
    </row>
    <row r="51" spans="1:12" x14ac:dyDescent="0.25">
      <c r="A51" s="15">
        <v>43040</v>
      </c>
      <c r="B51" s="5" t="s">
        <v>37</v>
      </c>
      <c r="C51" s="14">
        <v>104.45</v>
      </c>
      <c r="D51" s="14">
        <v>106.4251331339126</v>
      </c>
      <c r="E51" s="14">
        <v>140.81666666666669</v>
      </c>
      <c r="F51" s="14">
        <v>122.2081853735065</v>
      </c>
      <c r="G51" s="14">
        <v>92.24518826296918</v>
      </c>
      <c r="H51" s="14">
        <v>88.463733094536025</v>
      </c>
      <c r="I51" s="14">
        <v>104.8996989342232</v>
      </c>
      <c r="J51" s="14">
        <v>102.1146623223261</v>
      </c>
      <c r="K51" s="14">
        <v>133.85</v>
      </c>
      <c r="L51" s="14">
        <v>102.4</v>
      </c>
    </row>
    <row r="52" spans="1:12" x14ac:dyDescent="0.25">
      <c r="A52" s="15">
        <v>43070</v>
      </c>
      <c r="B52" s="5" t="s">
        <v>37</v>
      </c>
      <c r="C52" s="14">
        <v>118.15</v>
      </c>
      <c r="D52" s="14">
        <v>108.8849772697419</v>
      </c>
      <c r="E52" s="14">
        <v>126.8082222223333</v>
      </c>
      <c r="F52" s="14">
        <v>106.6136621727952</v>
      </c>
      <c r="G52" s="14">
        <v>100.8536681771825</v>
      </c>
      <c r="H52" s="14">
        <v>96.635012469853876</v>
      </c>
      <c r="I52" s="14">
        <v>90.896224362217936</v>
      </c>
      <c r="J52" s="14">
        <v>87.687381227163044</v>
      </c>
      <c r="K52" s="14">
        <v>125.100666667</v>
      </c>
      <c r="L52" s="14">
        <v>104.45</v>
      </c>
    </row>
    <row r="53" spans="1:12" x14ac:dyDescent="0.25">
      <c r="A53" s="15">
        <v>43101</v>
      </c>
      <c r="B53" s="5" t="s">
        <v>37</v>
      </c>
      <c r="C53" s="14">
        <v>109.15</v>
      </c>
      <c r="D53" s="14">
        <v>108.7376737326797</v>
      </c>
      <c r="E53" s="14">
        <v>153.15</v>
      </c>
      <c r="F53" s="14">
        <v>128.62782105227831</v>
      </c>
      <c r="G53" s="14">
        <v>108.7787190549133</v>
      </c>
      <c r="H53" s="14">
        <v>104.8253901575617</v>
      </c>
      <c r="I53" s="14">
        <v>124.8511356657485</v>
      </c>
      <c r="J53" s="14">
        <v>120.3744425084132</v>
      </c>
      <c r="K53" s="14">
        <v>122.1</v>
      </c>
      <c r="L53" s="14">
        <v>118.15</v>
      </c>
    </row>
    <row r="54" spans="1:12" x14ac:dyDescent="0.25">
      <c r="A54" s="15">
        <v>43132</v>
      </c>
      <c r="B54" s="5" t="s">
        <v>37</v>
      </c>
      <c r="C54" s="14">
        <v>114.65</v>
      </c>
      <c r="D54" s="14">
        <v>97.436007305940279</v>
      </c>
      <c r="E54" s="14">
        <v>141.63810344827581</v>
      </c>
      <c r="F54" s="14">
        <v>118.13574085166471</v>
      </c>
      <c r="G54" s="14">
        <v>98.409596448852085</v>
      </c>
      <c r="H54" s="14">
        <v>95.487295586004521</v>
      </c>
      <c r="I54" s="14">
        <v>111.3489452073631</v>
      </c>
      <c r="J54" s="14">
        <v>108.2192824440896</v>
      </c>
      <c r="K54" s="14">
        <v>128.15</v>
      </c>
      <c r="L54" s="14">
        <v>109.15</v>
      </c>
    </row>
    <row r="55" spans="1:12" x14ac:dyDescent="0.25">
      <c r="A55" s="15">
        <v>43160</v>
      </c>
      <c r="B55" s="5" t="s">
        <v>37</v>
      </c>
      <c r="C55" s="14">
        <v>122.3</v>
      </c>
      <c r="D55" s="14">
        <v>108.50550371771899</v>
      </c>
      <c r="E55" s="14">
        <v>134.30125000000001</v>
      </c>
      <c r="F55" s="14">
        <v>108.0051190476245</v>
      </c>
      <c r="G55" s="14">
        <v>117.4080565516129</v>
      </c>
      <c r="H55" s="14">
        <v>114.7248800118488</v>
      </c>
      <c r="I55" s="14">
        <v>103.0908582758868</v>
      </c>
      <c r="J55" s="14">
        <v>99.789760843007656</v>
      </c>
      <c r="K55" s="14">
        <v>107.35</v>
      </c>
      <c r="L55" s="14">
        <v>114.65</v>
      </c>
    </row>
    <row r="56" spans="1:12" x14ac:dyDescent="0.25">
      <c r="A56" s="15">
        <v>43191</v>
      </c>
      <c r="B56" s="5" t="s">
        <v>37</v>
      </c>
      <c r="C56" s="14">
        <v>85.6</v>
      </c>
      <c r="D56" s="14">
        <v>105.2298623662284</v>
      </c>
      <c r="E56" s="14">
        <v>124.3625</v>
      </c>
      <c r="F56" s="14">
        <v>99.83688172043513</v>
      </c>
      <c r="G56" s="14">
        <v>115.923908843636</v>
      </c>
      <c r="H56" s="14">
        <v>113.8031969244313</v>
      </c>
      <c r="I56" s="14">
        <v>101.8848719119714</v>
      </c>
      <c r="J56" s="14">
        <v>98.668950196462944</v>
      </c>
      <c r="K56" s="14">
        <v>100.5</v>
      </c>
      <c r="L56" s="14">
        <v>122.3</v>
      </c>
    </row>
    <row r="57" spans="1:12" x14ac:dyDescent="0.25">
      <c r="A57" s="15">
        <v>43221</v>
      </c>
      <c r="B57" s="5" t="s">
        <v>37</v>
      </c>
      <c r="C57" s="14">
        <v>89.4</v>
      </c>
      <c r="D57" s="14">
        <v>106.3585107698388</v>
      </c>
      <c r="E57" s="14">
        <v>125.41</v>
      </c>
      <c r="F57" s="14">
        <v>99.147395833337328</v>
      </c>
      <c r="G57" s="14">
        <v>105.63938091853031</v>
      </c>
      <c r="H57" s="14">
        <v>103.4823428568141</v>
      </c>
      <c r="I57" s="14">
        <v>96.887219930625022</v>
      </c>
      <c r="J57" s="14">
        <v>94.065008196105481</v>
      </c>
      <c r="K57" s="14">
        <v>98.95</v>
      </c>
      <c r="L57" s="14">
        <v>85.6</v>
      </c>
    </row>
    <row r="58" spans="1:12" x14ac:dyDescent="0.25">
      <c r="A58" s="15">
        <v>43252</v>
      </c>
      <c r="B58" s="5" t="s">
        <v>37</v>
      </c>
      <c r="C58" s="14">
        <v>86.8</v>
      </c>
      <c r="D58" s="14">
        <v>100.853972723985</v>
      </c>
      <c r="E58" s="14">
        <v>121.42749999999999</v>
      </c>
      <c r="F58" s="14">
        <v>95.457196394689461</v>
      </c>
      <c r="G58" s="14">
        <v>94.839514814223463</v>
      </c>
      <c r="H58" s="14">
        <v>92.918457565448406</v>
      </c>
      <c r="I58" s="14">
        <v>92.144303572831816</v>
      </c>
      <c r="J58" s="14">
        <v>89.592866907468462</v>
      </c>
      <c r="K58" s="14">
        <v>99.6</v>
      </c>
      <c r="L58" s="14">
        <v>89.4</v>
      </c>
    </row>
    <row r="59" spans="1:12" x14ac:dyDescent="0.25">
      <c r="A59" s="15">
        <v>43282</v>
      </c>
      <c r="B59" s="5" t="s">
        <v>37</v>
      </c>
      <c r="C59" s="14">
        <v>87.2</v>
      </c>
      <c r="D59" s="14">
        <v>102.2416318477101</v>
      </c>
      <c r="E59" s="14">
        <v>116.97499999999999</v>
      </c>
      <c r="F59" s="14">
        <v>89.642032407408706</v>
      </c>
      <c r="G59" s="14">
        <v>93.917175576338522</v>
      </c>
      <c r="H59" s="14">
        <v>91.808072239554932</v>
      </c>
      <c r="I59" s="14">
        <v>85.705115764693389</v>
      </c>
      <c r="J59" s="14">
        <v>83.123010419313104</v>
      </c>
      <c r="K59" s="14">
        <v>75.2</v>
      </c>
      <c r="L59" s="14">
        <v>86.8</v>
      </c>
    </row>
    <row r="60" spans="1:12" x14ac:dyDescent="0.25">
      <c r="A60" s="15">
        <v>43313</v>
      </c>
      <c r="B60" s="5" t="s">
        <v>37</v>
      </c>
      <c r="C60" s="14">
        <v>88.25</v>
      </c>
      <c r="D60" s="14">
        <v>100.21995294323681</v>
      </c>
      <c r="E60" s="14">
        <v>118.575</v>
      </c>
      <c r="F60" s="14">
        <v>91.113504385966479</v>
      </c>
      <c r="G60" s="14">
        <v>90.614634077115312</v>
      </c>
      <c r="H60" s="14">
        <v>88.349808631845576</v>
      </c>
      <c r="I60" s="14">
        <v>88.848019437007835</v>
      </c>
      <c r="J60" s="14">
        <v>86.07146567250831</v>
      </c>
      <c r="K60" s="14">
        <v>84.399999999999991</v>
      </c>
      <c r="L60" s="14">
        <v>87.2</v>
      </c>
    </row>
    <row r="61" spans="1:12" x14ac:dyDescent="0.25">
      <c r="A61" s="15">
        <v>43344</v>
      </c>
      <c r="B61" s="5" t="s">
        <v>37</v>
      </c>
      <c r="C61" s="14">
        <v>86.5</v>
      </c>
      <c r="D61" s="14">
        <v>95.233463594893266</v>
      </c>
      <c r="E61" s="14">
        <v>106.83750000000001</v>
      </c>
      <c r="F61" s="14">
        <v>80.123302419355412</v>
      </c>
      <c r="G61" s="14">
        <v>86.572703464191989</v>
      </c>
      <c r="H61" s="14">
        <v>84.16961934762405</v>
      </c>
      <c r="I61" s="14">
        <v>78.827559943133508</v>
      </c>
      <c r="J61" s="14">
        <v>76.080604066856651</v>
      </c>
      <c r="K61" s="14">
        <v>88.15</v>
      </c>
      <c r="L61" s="14">
        <v>88.25</v>
      </c>
    </row>
    <row r="62" spans="1:12" x14ac:dyDescent="0.25">
      <c r="A62" s="15">
        <v>43374</v>
      </c>
      <c r="B62" s="5" t="s">
        <v>37</v>
      </c>
      <c r="C62" s="14">
        <v>76.05</v>
      </c>
      <c r="D62" s="14">
        <v>96.795064753951721</v>
      </c>
      <c r="E62" s="14">
        <v>137.83750000000001</v>
      </c>
      <c r="F62" s="14">
        <v>110.54660317460311</v>
      </c>
      <c r="G62" s="14">
        <v>89.422092037090039</v>
      </c>
      <c r="H62" s="14">
        <v>86.754367093902232</v>
      </c>
      <c r="I62" s="14">
        <v>112.70685079242691</v>
      </c>
      <c r="J62" s="14">
        <v>109.6318809023248</v>
      </c>
      <c r="K62" s="14">
        <v>102.4</v>
      </c>
      <c r="L62" s="14">
        <v>86.5</v>
      </c>
    </row>
    <row r="63" spans="1:12" x14ac:dyDescent="0.25">
      <c r="A63" s="15">
        <v>43405</v>
      </c>
      <c r="B63" s="5" t="s">
        <v>37</v>
      </c>
      <c r="C63" s="14">
        <v>102.15</v>
      </c>
      <c r="D63" s="14">
        <v>91.324304760029975</v>
      </c>
      <c r="E63" s="14">
        <v>131.72499999999999</v>
      </c>
      <c r="F63" s="14">
        <v>103.7970087976536</v>
      </c>
      <c r="G63" s="14">
        <v>80.255953137870875</v>
      </c>
      <c r="H63" s="14">
        <v>77.934217018171523</v>
      </c>
      <c r="I63" s="14">
        <v>95.993032326473298</v>
      </c>
      <c r="J63" s="14">
        <v>94.035584058856244</v>
      </c>
      <c r="K63" s="14">
        <v>104.45</v>
      </c>
      <c r="L63" s="14">
        <v>76.05</v>
      </c>
    </row>
    <row r="64" spans="1:12" x14ac:dyDescent="0.25">
      <c r="A64" s="15">
        <v>43435</v>
      </c>
      <c r="B64" s="5" t="s">
        <v>37</v>
      </c>
      <c r="C64" s="14">
        <v>91.75</v>
      </c>
      <c r="D64" s="14">
        <v>94.094562579723757</v>
      </c>
      <c r="E64" s="14">
        <v>124.64366666674999</v>
      </c>
      <c r="F64" s="14">
        <v>95.710746376898925</v>
      </c>
      <c r="G64" s="14">
        <v>93.644580386268387</v>
      </c>
      <c r="H64" s="14">
        <v>90.286800286692596</v>
      </c>
      <c r="I64" s="14">
        <v>91.212629556023344</v>
      </c>
      <c r="J64" s="14">
        <v>88.399773102723344</v>
      </c>
      <c r="K64" s="14">
        <v>118.15</v>
      </c>
      <c r="L64" s="14">
        <v>102.15</v>
      </c>
    </row>
    <row r="65" spans="1:12" x14ac:dyDescent="0.25">
      <c r="A65" s="15">
        <v>43466</v>
      </c>
      <c r="B65" s="5" t="s">
        <v>37</v>
      </c>
      <c r="C65" s="14">
        <v>109.6</v>
      </c>
      <c r="D65" s="14">
        <v>92.924922704636927</v>
      </c>
      <c r="E65" s="14">
        <v>144.35</v>
      </c>
      <c r="F65" s="14">
        <v>109.4324583333336</v>
      </c>
      <c r="G65" s="14">
        <v>92.754930901671273</v>
      </c>
      <c r="H65" s="14">
        <v>89.749235867176495</v>
      </c>
      <c r="I65" s="14">
        <v>107.717152110249</v>
      </c>
      <c r="J65" s="14">
        <v>104.29725453509769</v>
      </c>
      <c r="K65" s="14">
        <v>109.15</v>
      </c>
      <c r="L65" s="14">
        <v>91.75</v>
      </c>
    </row>
    <row r="66" spans="1:12" x14ac:dyDescent="0.25">
      <c r="A66" s="15">
        <v>43497</v>
      </c>
      <c r="B66" s="5" t="s">
        <v>37</v>
      </c>
      <c r="C66" s="14">
        <v>110.2</v>
      </c>
      <c r="D66" s="14">
        <v>84.001075875448848</v>
      </c>
      <c r="E66" s="14">
        <v>136.24048275862069</v>
      </c>
      <c r="F66" s="14">
        <v>104.7109596719671</v>
      </c>
      <c r="G66" s="14">
        <v>90.929300077024322</v>
      </c>
      <c r="H66" s="14">
        <v>88.161814984040106</v>
      </c>
      <c r="I66" s="14">
        <v>104.57832576293271</v>
      </c>
      <c r="J66" s="14">
        <v>101.6072195114902</v>
      </c>
      <c r="K66" s="14">
        <v>114.65</v>
      </c>
      <c r="L66" s="14">
        <v>109.6</v>
      </c>
    </row>
    <row r="67" spans="1:12" x14ac:dyDescent="0.25">
      <c r="A67" s="15">
        <v>43525</v>
      </c>
      <c r="B67" s="5" t="s">
        <v>37</v>
      </c>
      <c r="C67" s="14">
        <v>83.35</v>
      </c>
      <c r="D67" s="14">
        <v>93.881818002315853</v>
      </c>
      <c r="E67" s="14">
        <v>131.90100000000001</v>
      </c>
      <c r="F67" s="14">
        <v>97.33093326947612</v>
      </c>
      <c r="G67" s="14">
        <v>111.2998199244185</v>
      </c>
      <c r="H67" s="14">
        <v>108.8110214919801</v>
      </c>
      <c r="I67" s="14">
        <v>99.892365533422534</v>
      </c>
      <c r="J67" s="14">
        <v>96.550972910849666</v>
      </c>
      <c r="K67" s="14">
        <v>122.3</v>
      </c>
      <c r="L67" s="14">
        <v>110.2</v>
      </c>
    </row>
    <row r="68" spans="1:12" x14ac:dyDescent="0.25">
      <c r="A68" s="15">
        <v>43556</v>
      </c>
      <c r="B68" s="5" t="s">
        <v>37</v>
      </c>
      <c r="C68" s="14">
        <v>96.1</v>
      </c>
      <c r="D68" s="14">
        <v>89.290608648145422</v>
      </c>
      <c r="E68" s="14">
        <v>116.61</v>
      </c>
      <c r="F68" s="14">
        <v>82.442994848075756</v>
      </c>
      <c r="G68" s="14">
        <v>94.895244206915081</v>
      </c>
      <c r="H68" s="14">
        <v>92.734964403350304</v>
      </c>
      <c r="I68" s="14">
        <v>81.011877356267277</v>
      </c>
      <c r="J68" s="14">
        <v>78.455877477644378</v>
      </c>
      <c r="K68" s="14">
        <v>85.6</v>
      </c>
      <c r="L68" s="14">
        <v>83.35</v>
      </c>
    </row>
    <row r="69" spans="1:12" x14ac:dyDescent="0.25">
      <c r="A69" s="15">
        <v>43586</v>
      </c>
      <c r="B69" s="5" t="s">
        <v>37</v>
      </c>
      <c r="C69" s="14">
        <v>104.1</v>
      </c>
      <c r="D69" s="14">
        <v>91.744894237730691</v>
      </c>
      <c r="E69" s="14">
        <v>118.208</v>
      </c>
      <c r="F69" s="14">
        <v>83.607706609195219</v>
      </c>
      <c r="G69" s="14">
        <v>98.618183711796902</v>
      </c>
      <c r="H69" s="14">
        <v>96.310573471824213</v>
      </c>
      <c r="I69" s="14">
        <v>87.637537436171343</v>
      </c>
      <c r="J69" s="14">
        <v>84.278280060452261</v>
      </c>
      <c r="K69" s="14">
        <v>89.4</v>
      </c>
      <c r="L69" s="14">
        <v>96.1</v>
      </c>
    </row>
    <row r="70" spans="1:12" x14ac:dyDescent="0.25">
      <c r="A70" s="15">
        <v>43617</v>
      </c>
      <c r="B70" s="5" t="s">
        <v>37</v>
      </c>
      <c r="C70" s="14">
        <v>103.2</v>
      </c>
      <c r="D70" s="14">
        <v>88.600176606874228</v>
      </c>
      <c r="E70" s="14">
        <v>114.502</v>
      </c>
      <c r="F70" s="14">
        <v>81.962190423221159</v>
      </c>
      <c r="G70" s="14">
        <v>97.809152365587849</v>
      </c>
      <c r="H70" s="14">
        <v>95.514155331410592</v>
      </c>
      <c r="I70" s="14">
        <v>91.132003105530828</v>
      </c>
      <c r="J70" s="14">
        <v>87.689536018065283</v>
      </c>
      <c r="K70" s="14">
        <v>86.8</v>
      </c>
      <c r="L70" s="14">
        <v>104.1</v>
      </c>
    </row>
    <row r="71" spans="1:12" x14ac:dyDescent="0.25">
      <c r="A71" s="15">
        <v>43647</v>
      </c>
      <c r="B71" s="5" t="s">
        <v>37</v>
      </c>
      <c r="C71" s="14">
        <v>92.8</v>
      </c>
      <c r="D71" s="14">
        <v>91.53343545803483</v>
      </c>
      <c r="E71" s="14">
        <v>111.02</v>
      </c>
      <c r="F71" s="14">
        <v>78.393063584117229</v>
      </c>
      <c r="G71" s="14">
        <v>103.56542353490509</v>
      </c>
      <c r="H71" s="14">
        <v>101.2452533968582</v>
      </c>
      <c r="I71" s="14">
        <v>92.07000400704267</v>
      </c>
      <c r="J71" s="14">
        <v>88.84813250412428</v>
      </c>
      <c r="K71" s="14">
        <v>87.2</v>
      </c>
      <c r="L71" s="14">
        <v>103.2</v>
      </c>
    </row>
    <row r="72" spans="1:12" x14ac:dyDescent="0.25">
      <c r="A72" s="15">
        <v>43678</v>
      </c>
      <c r="B72" s="5" t="s">
        <v>37</v>
      </c>
      <c r="C72" s="14">
        <v>84.2</v>
      </c>
      <c r="D72" s="14">
        <v>90.695108636180137</v>
      </c>
      <c r="E72" s="14">
        <v>112.51</v>
      </c>
      <c r="F72" s="14">
        <v>80.509452123937692</v>
      </c>
      <c r="G72" s="14">
        <v>98.769456375362225</v>
      </c>
      <c r="H72" s="14">
        <v>96.6588971277707</v>
      </c>
      <c r="I72" s="14">
        <v>94.542838977541081</v>
      </c>
      <c r="J72" s="14">
        <v>91.754506052970527</v>
      </c>
      <c r="K72" s="14">
        <v>88.25</v>
      </c>
      <c r="L72" s="14">
        <v>92.8</v>
      </c>
    </row>
    <row r="73" spans="1:12" x14ac:dyDescent="0.25">
      <c r="A73" s="15">
        <v>43709</v>
      </c>
      <c r="B73" s="5" t="s">
        <v>37</v>
      </c>
      <c r="C73" s="14">
        <v>93.5</v>
      </c>
      <c r="D73" s="14">
        <v>86.516873034511235</v>
      </c>
      <c r="E73" s="14">
        <v>102.77</v>
      </c>
      <c r="F73" s="14">
        <v>71.950540276231621</v>
      </c>
      <c r="G73" s="14">
        <v>89.24493282390101</v>
      </c>
      <c r="H73" s="14">
        <v>87.396536731156829</v>
      </c>
      <c r="I73" s="14">
        <v>82.61178243587797</v>
      </c>
      <c r="J73" s="14">
        <v>80.197799284916414</v>
      </c>
      <c r="K73" s="14">
        <v>86.5</v>
      </c>
      <c r="L73" s="14">
        <v>84.2</v>
      </c>
    </row>
    <row r="74" spans="1:12" x14ac:dyDescent="0.25">
      <c r="A74" s="15">
        <v>43009</v>
      </c>
      <c r="B74" s="5" t="s">
        <v>44</v>
      </c>
      <c r="C74" s="14">
        <v>1241.95</v>
      </c>
      <c r="D74" s="14">
        <v>957.10254501436452</v>
      </c>
      <c r="E74" s="14">
        <v>1401.480555556667</v>
      </c>
      <c r="F74" s="14">
        <v>1470.200555154471</v>
      </c>
      <c r="G74" s="14">
        <v>845.19758127006594</v>
      </c>
      <c r="H74" s="14">
        <v>842.58486362700933</v>
      </c>
      <c r="I74" s="14">
        <v>1280.5299405118619</v>
      </c>
      <c r="J74" s="14">
        <v>1288.11418235824</v>
      </c>
      <c r="K74" s="14">
        <v>1583.6916666699999</v>
      </c>
      <c r="L74" s="14">
        <v>863.75</v>
      </c>
    </row>
    <row r="75" spans="1:12" x14ac:dyDescent="0.25">
      <c r="A75" s="15">
        <v>43040</v>
      </c>
      <c r="B75" s="5" t="s">
        <v>44</v>
      </c>
      <c r="C75" s="14">
        <v>867.899</v>
      </c>
      <c r="D75" s="14">
        <v>951.13877333776213</v>
      </c>
      <c r="E75" s="14">
        <v>1007.153666666667</v>
      </c>
      <c r="F75" s="14">
        <v>1061.385356860269</v>
      </c>
      <c r="G75" s="14">
        <v>1173.044121890935</v>
      </c>
      <c r="H75" s="14">
        <v>1179.9719439405501</v>
      </c>
      <c r="I75" s="14">
        <v>864.71984194292213</v>
      </c>
      <c r="J75" s="14">
        <v>870.90548379677057</v>
      </c>
      <c r="K75" s="14">
        <v>1062.6859999999999</v>
      </c>
      <c r="L75" s="14">
        <v>1241.95</v>
      </c>
    </row>
    <row r="76" spans="1:12" x14ac:dyDescent="0.25">
      <c r="A76" s="15">
        <v>43070</v>
      </c>
      <c r="B76" s="5" t="s">
        <v>44</v>
      </c>
      <c r="C76" s="14">
        <v>1064.08</v>
      </c>
      <c r="D76" s="14">
        <v>977.2850430514203</v>
      </c>
      <c r="E76" s="14">
        <v>1333.498</v>
      </c>
      <c r="F76" s="14">
        <v>1379.014470985112</v>
      </c>
      <c r="G76" s="14">
        <v>934.93229453533297</v>
      </c>
      <c r="H76" s="14">
        <v>934.94193760057874</v>
      </c>
      <c r="I76" s="14">
        <v>1184.387607340904</v>
      </c>
      <c r="J76" s="14">
        <v>1190.8673083987981</v>
      </c>
      <c r="K76" s="14">
        <v>1670.9349999999999</v>
      </c>
      <c r="L76" s="14">
        <v>867.899</v>
      </c>
    </row>
    <row r="77" spans="1:12" x14ac:dyDescent="0.25">
      <c r="A77" s="15">
        <v>43101</v>
      </c>
      <c r="B77" s="5" t="s">
        <v>44</v>
      </c>
      <c r="C77" s="14">
        <v>1255.125</v>
      </c>
      <c r="D77" s="14">
        <v>986.05121550747685</v>
      </c>
      <c r="E77" s="14">
        <v>1272.6765</v>
      </c>
      <c r="F77" s="14">
        <v>1309.888684294817</v>
      </c>
      <c r="G77" s="14">
        <v>1046.293595759344</v>
      </c>
      <c r="H77" s="14">
        <v>1049.0581762930719</v>
      </c>
      <c r="I77" s="14">
        <v>1124.959933899202</v>
      </c>
      <c r="J77" s="14">
        <v>1128.6497285412891</v>
      </c>
      <c r="K77" s="14">
        <v>1462.8119999999999</v>
      </c>
      <c r="L77" s="14">
        <v>1064.08</v>
      </c>
    </row>
    <row r="78" spans="1:12" x14ac:dyDescent="0.25">
      <c r="A78" s="15">
        <v>43132</v>
      </c>
      <c r="B78" s="5" t="s">
        <v>44</v>
      </c>
      <c r="C78" s="14">
        <v>1255.374</v>
      </c>
      <c r="D78" s="14">
        <v>912.05131386043183</v>
      </c>
      <c r="E78" s="14">
        <v>961.92234482758636</v>
      </c>
      <c r="F78" s="14">
        <v>991.72842900390856</v>
      </c>
      <c r="G78" s="14">
        <v>1108.598982850996</v>
      </c>
      <c r="H78" s="14">
        <v>1114.9746018682149</v>
      </c>
      <c r="I78" s="14">
        <v>895.47869428353283</v>
      </c>
      <c r="J78" s="14">
        <v>901.35333279452584</v>
      </c>
      <c r="K78" s="14">
        <v>709.91200000000003</v>
      </c>
      <c r="L78" s="14">
        <v>1255.125</v>
      </c>
    </row>
    <row r="79" spans="1:12" x14ac:dyDescent="0.25">
      <c r="A79" s="15">
        <v>43160</v>
      </c>
      <c r="B79" s="5" t="s">
        <v>44</v>
      </c>
      <c r="C79" s="14">
        <v>999.12300000000005</v>
      </c>
      <c r="D79" s="14">
        <v>1042.593309551128</v>
      </c>
      <c r="E79" s="14">
        <v>906.83124999999995</v>
      </c>
      <c r="F79" s="14">
        <v>960.68036539133072</v>
      </c>
      <c r="G79" s="14">
        <v>1370.6331799192469</v>
      </c>
      <c r="H79" s="14">
        <v>1380.673431123271</v>
      </c>
      <c r="I79" s="14">
        <v>1079.227412375732</v>
      </c>
      <c r="J79" s="14">
        <v>1092.497506383482</v>
      </c>
      <c r="K79" s="14">
        <v>612.5</v>
      </c>
      <c r="L79" s="14">
        <v>1255.374</v>
      </c>
    </row>
    <row r="80" spans="1:12" x14ac:dyDescent="0.25">
      <c r="A80" s="15">
        <v>43191</v>
      </c>
      <c r="B80" s="5" t="s">
        <v>44</v>
      </c>
      <c r="C80" s="14">
        <v>821.48699999999997</v>
      </c>
      <c r="D80" s="14">
        <v>1008.863104665531</v>
      </c>
      <c r="E80" s="14">
        <v>829.67674999999986</v>
      </c>
      <c r="F80" s="14">
        <v>884.2689671276388</v>
      </c>
      <c r="G80" s="14">
        <v>1018.721076308007</v>
      </c>
      <c r="H80" s="14">
        <v>1021.528694059149</v>
      </c>
      <c r="I80" s="14">
        <v>937.37854761715937</v>
      </c>
      <c r="J80" s="14">
        <v>948.57751593194484</v>
      </c>
      <c r="K80" s="14">
        <v>588.20000000000005</v>
      </c>
      <c r="L80" s="14">
        <v>999.12300000000005</v>
      </c>
    </row>
    <row r="81" spans="1:12" x14ac:dyDescent="0.25">
      <c r="A81" s="15">
        <v>43221</v>
      </c>
      <c r="B81" s="5" t="s">
        <v>44</v>
      </c>
      <c r="C81" s="14">
        <v>644.64800000000002</v>
      </c>
      <c r="D81" s="14">
        <v>1030.807528954407</v>
      </c>
      <c r="E81" s="14">
        <v>743.29249999999979</v>
      </c>
      <c r="F81" s="14">
        <v>795.64978898822119</v>
      </c>
      <c r="G81" s="14">
        <v>872.46766742900274</v>
      </c>
      <c r="H81" s="14">
        <v>871.08646698215762</v>
      </c>
      <c r="I81" s="14">
        <v>778.74620990974086</v>
      </c>
      <c r="J81" s="14">
        <v>789.32297709665374</v>
      </c>
      <c r="K81" s="14">
        <v>547.93999999999994</v>
      </c>
      <c r="L81" s="14">
        <v>821.48699999999997</v>
      </c>
    </row>
    <row r="82" spans="1:12" x14ac:dyDescent="0.25">
      <c r="A82" s="15">
        <v>43252</v>
      </c>
      <c r="B82" s="5" t="s">
        <v>44</v>
      </c>
      <c r="C82" s="14">
        <v>584.34299999999996</v>
      </c>
      <c r="D82" s="14">
        <v>972.04987501070991</v>
      </c>
      <c r="E82" s="14">
        <v>629.94699999999989</v>
      </c>
      <c r="F82" s="14">
        <v>672.01941691525724</v>
      </c>
      <c r="G82" s="14">
        <v>645.90258138072511</v>
      </c>
      <c r="H82" s="14">
        <v>640.50493807355917</v>
      </c>
      <c r="I82" s="14">
        <v>582.58656074506655</v>
      </c>
      <c r="J82" s="14">
        <v>590.5830477859007</v>
      </c>
      <c r="K82" s="14">
        <v>496.1</v>
      </c>
      <c r="L82" s="14">
        <v>644.64800000000002</v>
      </c>
    </row>
    <row r="83" spans="1:12" x14ac:dyDescent="0.25">
      <c r="A83" s="15">
        <v>43282</v>
      </c>
      <c r="B83" s="5" t="s">
        <v>44</v>
      </c>
      <c r="C83" s="14">
        <v>679.35</v>
      </c>
      <c r="D83" s="14">
        <v>976.75377399507693</v>
      </c>
      <c r="E83" s="14">
        <v>583.11</v>
      </c>
      <c r="F83" s="14">
        <v>621.55155502654566</v>
      </c>
      <c r="G83" s="14">
        <v>609.83654990545074</v>
      </c>
      <c r="H83" s="14">
        <v>603.18745374940897</v>
      </c>
      <c r="I83" s="14">
        <v>530.77165034956988</v>
      </c>
      <c r="J83" s="14">
        <v>538.45504070752816</v>
      </c>
      <c r="K83" s="14">
        <v>479.35</v>
      </c>
      <c r="L83" s="14">
        <v>584.34299999999996</v>
      </c>
    </row>
    <row r="84" spans="1:12" x14ac:dyDescent="0.25">
      <c r="A84" s="15">
        <v>43313</v>
      </c>
      <c r="B84" s="5" t="s">
        <v>44</v>
      </c>
      <c r="C84" s="14">
        <v>733.83799999999997</v>
      </c>
      <c r="D84" s="14">
        <v>956.29361938293709</v>
      </c>
      <c r="E84" s="14">
        <v>643.45533333499998</v>
      </c>
      <c r="F84" s="14">
        <v>684.938911781196</v>
      </c>
      <c r="G84" s="14">
        <v>672.50994702829382</v>
      </c>
      <c r="H84" s="14">
        <v>667.10874053709369</v>
      </c>
      <c r="I84" s="14">
        <v>671.43776855310091</v>
      </c>
      <c r="J84" s="14">
        <v>681.36052524332911</v>
      </c>
      <c r="K84" s="14">
        <v>549.29999999999995</v>
      </c>
      <c r="L84" s="14">
        <v>679.35</v>
      </c>
    </row>
    <row r="85" spans="1:12" x14ac:dyDescent="0.25">
      <c r="A85" s="15">
        <v>43344</v>
      </c>
      <c r="B85" s="5" t="s">
        <v>44</v>
      </c>
      <c r="C85" s="14">
        <v>1058.2619999999999</v>
      </c>
      <c r="D85" s="14">
        <v>910.63914682469681</v>
      </c>
      <c r="E85" s="14">
        <v>930.59850000000006</v>
      </c>
      <c r="F85" s="14">
        <v>973.10998341012078</v>
      </c>
      <c r="G85" s="14">
        <v>704.39557107047278</v>
      </c>
      <c r="H85" s="14">
        <v>700.37498633908547</v>
      </c>
      <c r="I85" s="14">
        <v>986.99785603501687</v>
      </c>
      <c r="J85" s="14">
        <v>997.50278234460757</v>
      </c>
      <c r="K85" s="14">
        <v>863.75</v>
      </c>
      <c r="L85" s="14">
        <v>733.83799999999997</v>
      </c>
    </row>
    <row r="86" spans="1:12" x14ac:dyDescent="0.25">
      <c r="A86" s="15">
        <v>43374</v>
      </c>
      <c r="B86" s="5" t="s">
        <v>44</v>
      </c>
      <c r="C86" s="14">
        <v>1129.2750000000001</v>
      </c>
      <c r="D86" s="14">
        <v>951.87030324377997</v>
      </c>
      <c r="E86" s="14">
        <v>1361.5979166674999</v>
      </c>
      <c r="F86" s="14">
        <v>1409.716469388577</v>
      </c>
      <c r="G86" s="14">
        <v>1061.1084472348821</v>
      </c>
      <c r="H86" s="14">
        <v>1063.8288545666489</v>
      </c>
      <c r="I86" s="14">
        <v>1456.553497106657</v>
      </c>
      <c r="J86" s="14">
        <v>1468.5548956029941</v>
      </c>
      <c r="K86" s="14">
        <v>1241.95</v>
      </c>
      <c r="L86" s="14">
        <v>1058.2619999999999</v>
      </c>
    </row>
    <row r="87" spans="1:12" x14ac:dyDescent="0.25">
      <c r="A87" s="15">
        <v>43405</v>
      </c>
      <c r="B87" s="5" t="s">
        <v>44</v>
      </c>
      <c r="C87" s="14">
        <v>995.15</v>
      </c>
      <c r="D87" s="14">
        <v>933.4390274420582</v>
      </c>
      <c r="E87" s="14">
        <v>972.33999999999992</v>
      </c>
      <c r="F87" s="14">
        <v>1006.5702063258919</v>
      </c>
      <c r="G87" s="14">
        <v>1087.7865654647819</v>
      </c>
      <c r="H87" s="14">
        <v>1091.410605590271</v>
      </c>
      <c r="I87" s="14">
        <v>884.84374269574494</v>
      </c>
      <c r="J87" s="14">
        <v>892.94369383053629</v>
      </c>
      <c r="K87" s="14">
        <v>867.899</v>
      </c>
      <c r="L87" s="14">
        <v>1129.2750000000001</v>
      </c>
    </row>
    <row r="88" spans="1:12" x14ac:dyDescent="0.25">
      <c r="A88" s="15">
        <v>43435</v>
      </c>
      <c r="B88" s="5" t="s">
        <v>44</v>
      </c>
      <c r="C88" s="14">
        <v>1360.95</v>
      </c>
      <c r="D88" s="14">
        <v>969.63652244524746</v>
      </c>
      <c r="E88" s="14">
        <v>1266.1434999999999</v>
      </c>
      <c r="F88" s="14">
        <v>1301.0016314699801</v>
      </c>
      <c r="G88" s="14">
        <v>1036.2889469419399</v>
      </c>
      <c r="H88" s="14">
        <v>1038.3180340320621</v>
      </c>
      <c r="I88" s="14">
        <v>1233.8216119149799</v>
      </c>
      <c r="J88" s="14">
        <v>1243.198988330256</v>
      </c>
      <c r="K88" s="14">
        <v>1064.08</v>
      </c>
      <c r="L88" s="14">
        <v>995.15</v>
      </c>
    </row>
    <row r="89" spans="1:12" x14ac:dyDescent="0.25">
      <c r="A89" s="15">
        <v>43466</v>
      </c>
      <c r="B89" s="5" t="s">
        <v>44</v>
      </c>
      <c r="C89" s="14">
        <v>1822.7739999999999</v>
      </c>
      <c r="D89" s="14">
        <v>996.59177516037096</v>
      </c>
      <c r="E89" s="14">
        <v>1269.1661999999999</v>
      </c>
      <c r="F89" s="14">
        <v>1313.9933761904749</v>
      </c>
      <c r="G89" s="14">
        <v>1330.894841645377</v>
      </c>
      <c r="H89" s="14">
        <v>1338.400544231934</v>
      </c>
      <c r="I89" s="14">
        <v>1348.550225585594</v>
      </c>
      <c r="J89" s="14">
        <v>1360.7767921507841</v>
      </c>
      <c r="K89" s="14">
        <v>1255.125</v>
      </c>
      <c r="L89" s="14">
        <v>1360.95</v>
      </c>
    </row>
    <row r="90" spans="1:12" x14ac:dyDescent="0.25">
      <c r="A90" s="15">
        <v>43497</v>
      </c>
      <c r="B90" s="5" t="s">
        <v>44</v>
      </c>
      <c r="C90" s="14">
        <v>1001.212</v>
      </c>
      <c r="D90" s="14">
        <v>950.44360085649805</v>
      </c>
      <c r="E90" s="14">
        <v>1020.612675862069</v>
      </c>
      <c r="F90" s="14">
        <v>1088.1337258304429</v>
      </c>
      <c r="G90" s="14">
        <v>1628.9653229668149</v>
      </c>
      <c r="H90" s="14">
        <v>1642.129588544841</v>
      </c>
      <c r="I90" s="14">
        <v>1362.5293280428789</v>
      </c>
      <c r="J90" s="14">
        <v>1373.521283522877</v>
      </c>
      <c r="K90" s="14">
        <v>1255.374</v>
      </c>
      <c r="L90" s="14">
        <v>1822.7739999999999</v>
      </c>
    </row>
    <row r="91" spans="1:12" x14ac:dyDescent="0.25">
      <c r="A91" s="15">
        <v>43525</v>
      </c>
      <c r="B91" s="5" t="s">
        <v>44</v>
      </c>
      <c r="C91" s="14">
        <v>941.05000000000007</v>
      </c>
      <c r="D91" s="14">
        <v>1058.7230499401339</v>
      </c>
      <c r="E91" s="14">
        <v>925.28959999999995</v>
      </c>
      <c r="F91" s="14">
        <v>994.69867218572517</v>
      </c>
      <c r="G91" s="14">
        <v>1206.4097601882031</v>
      </c>
      <c r="H91" s="14">
        <v>1212.487368954309</v>
      </c>
      <c r="I91" s="14">
        <v>1064.7023965556491</v>
      </c>
      <c r="J91" s="14">
        <v>1080.089290121975</v>
      </c>
      <c r="K91" s="14">
        <v>999.12300000000005</v>
      </c>
      <c r="L91" s="14">
        <v>1001.212</v>
      </c>
    </row>
    <row r="92" spans="1:12" x14ac:dyDescent="0.25">
      <c r="A92" s="15">
        <v>43556</v>
      </c>
      <c r="B92" s="5" t="s">
        <v>44</v>
      </c>
      <c r="C92" s="14">
        <v>689.05</v>
      </c>
      <c r="D92" s="14">
        <v>1020.152881845571</v>
      </c>
      <c r="E92" s="14">
        <v>828.0387999999997</v>
      </c>
      <c r="F92" s="14">
        <v>892.47633986466894</v>
      </c>
      <c r="G92" s="14">
        <v>935.97042827017322</v>
      </c>
      <c r="H92" s="14">
        <v>936.6049869827923</v>
      </c>
      <c r="I92" s="14">
        <v>907.39040015878368</v>
      </c>
      <c r="J92" s="14">
        <v>921.65147297952467</v>
      </c>
      <c r="K92" s="14">
        <v>821.48699999999997</v>
      </c>
      <c r="L92" s="14">
        <v>941.05000000000007</v>
      </c>
    </row>
    <row r="93" spans="1:12" x14ac:dyDescent="0.25">
      <c r="A93" s="15">
        <v>43586</v>
      </c>
      <c r="B93" s="5" t="s">
        <v>44</v>
      </c>
      <c r="C93" s="14">
        <v>703.56200000000001</v>
      </c>
      <c r="D93" s="14">
        <v>1035.505374141022</v>
      </c>
      <c r="E93" s="14">
        <v>723.56359999999984</v>
      </c>
      <c r="F93" s="14">
        <v>779.63869696714403</v>
      </c>
      <c r="G93" s="14">
        <v>733.56136185588866</v>
      </c>
      <c r="H93" s="14">
        <v>730.17236007907559</v>
      </c>
      <c r="I93" s="14">
        <v>699.85633938749334</v>
      </c>
      <c r="J93" s="14">
        <v>711.6344636512689</v>
      </c>
      <c r="K93" s="14">
        <v>644.64800000000002</v>
      </c>
      <c r="L93" s="14">
        <v>689.05</v>
      </c>
    </row>
    <row r="94" spans="1:12" x14ac:dyDescent="0.25">
      <c r="A94" s="15">
        <v>43617</v>
      </c>
      <c r="B94" s="5" t="s">
        <v>44</v>
      </c>
      <c r="C94" s="14">
        <v>610</v>
      </c>
      <c r="D94" s="14">
        <v>984.49910608749451</v>
      </c>
      <c r="E94" s="14">
        <v>620.82619999999997</v>
      </c>
      <c r="F94" s="14">
        <v>671.58658430152536</v>
      </c>
      <c r="G94" s="14">
        <v>683.26318650719986</v>
      </c>
      <c r="H94" s="14">
        <v>679.58780680735481</v>
      </c>
      <c r="I94" s="14">
        <v>595.89273323411965</v>
      </c>
      <c r="J94" s="14">
        <v>605.402150554728</v>
      </c>
      <c r="K94" s="14">
        <v>584.34299999999996</v>
      </c>
      <c r="L94" s="14">
        <v>703.56200000000001</v>
      </c>
    </row>
    <row r="95" spans="1:12" x14ac:dyDescent="0.25">
      <c r="A95" s="15">
        <v>43647</v>
      </c>
      <c r="B95" s="5" t="s">
        <v>44</v>
      </c>
      <c r="C95" s="14">
        <v>620.67499999999995</v>
      </c>
      <c r="D95" s="14">
        <v>995.635660497191</v>
      </c>
      <c r="E95" s="14">
        <v>602.35799999999983</v>
      </c>
      <c r="F95" s="14">
        <v>651.91769390953345</v>
      </c>
      <c r="G95" s="14">
        <v>636.62902750505509</v>
      </c>
      <c r="H95" s="14">
        <v>631.75331316067195</v>
      </c>
      <c r="I95" s="14">
        <v>579.25690981685739</v>
      </c>
      <c r="J95" s="14">
        <v>588.6008544174091</v>
      </c>
      <c r="K95" s="14">
        <v>679.35</v>
      </c>
      <c r="L95" s="14">
        <v>610</v>
      </c>
    </row>
    <row r="96" spans="1:12" x14ac:dyDescent="0.25">
      <c r="A96" s="15">
        <v>43678</v>
      </c>
      <c r="B96" s="5" t="s">
        <v>44</v>
      </c>
      <c r="C96" s="14">
        <v>518.1</v>
      </c>
      <c r="D96" s="14">
        <v>974.49826843761207</v>
      </c>
      <c r="E96" s="14">
        <v>661.53186666800013</v>
      </c>
      <c r="F96" s="14">
        <v>709.73318258146207</v>
      </c>
      <c r="G96" s="14">
        <v>621.9946803508235</v>
      </c>
      <c r="H96" s="14">
        <v>616.92225612717846</v>
      </c>
      <c r="I96" s="14">
        <v>652.54448963826519</v>
      </c>
      <c r="J96" s="14">
        <v>662.08693390545022</v>
      </c>
      <c r="K96" s="14">
        <v>733.83799999999997</v>
      </c>
      <c r="L96" s="14">
        <v>620.67499999999995</v>
      </c>
    </row>
    <row r="97" spans="1:12" x14ac:dyDescent="0.25">
      <c r="A97" s="15">
        <v>43709</v>
      </c>
      <c r="B97" s="5" t="s">
        <v>44</v>
      </c>
      <c r="C97" s="14">
        <v>984.48</v>
      </c>
      <c r="D97" s="14">
        <v>917.81209164716381</v>
      </c>
      <c r="E97" s="14">
        <v>956.13120000000004</v>
      </c>
      <c r="F97" s="14">
        <v>995.05049029602355</v>
      </c>
      <c r="G97" s="14">
        <v>509.65178998602232</v>
      </c>
      <c r="H97" s="14">
        <v>503.39719627182478</v>
      </c>
      <c r="I97" s="14">
        <v>887.01538264453188</v>
      </c>
      <c r="J97" s="14">
        <v>894.6998759836232</v>
      </c>
      <c r="K97" s="14">
        <v>1058.2619999999999</v>
      </c>
      <c r="L97" s="14">
        <v>518.1</v>
      </c>
    </row>
    <row r="98" spans="1:12" x14ac:dyDescent="0.25">
      <c r="A98" s="15">
        <v>43009</v>
      </c>
      <c r="B98" s="5" t="s">
        <v>47</v>
      </c>
      <c r="C98" s="14">
        <v>233</v>
      </c>
      <c r="D98" s="14">
        <v>186.4661411147095</v>
      </c>
      <c r="E98" s="14">
        <v>314.27777777666671</v>
      </c>
      <c r="F98" s="14">
        <v>216.11424137538961</v>
      </c>
      <c r="G98" s="14">
        <v>230.4333334609866</v>
      </c>
      <c r="H98" s="14">
        <v>227.4885932012171</v>
      </c>
      <c r="I98" s="14">
        <v>220.89859711813361</v>
      </c>
      <c r="J98" s="14">
        <v>217.68558318778491</v>
      </c>
      <c r="K98" s="14">
        <v>290.83333333000002</v>
      </c>
      <c r="L98" s="14">
        <v>223</v>
      </c>
    </row>
    <row r="99" spans="1:12" x14ac:dyDescent="0.25">
      <c r="A99" s="15">
        <v>43040</v>
      </c>
      <c r="B99" s="5" t="s">
        <v>47</v>
      </c>
      <c r="C99" s="14">
        <v>192</v>
      </c>
      <c r="D99" s="14">
        <v>180.58727155222419</v>
      </c>
      <c r="E99" s="14">
        <v>317.05555555666672</v>
      </c>
      <c r="F99" s="14">
        <v>222.96642133088699</v>
      </c>
      <c r="G99" s="14">
        <v>225.48387093072941</v>
      </c>
      <c r="H99" s="14">
        <v>222.7526881692211</v>
      </c>
      <c r="I99" s="14">
        <v>241.23553926364971</v>
      </c>
      <c r="J99" s="14">
        <v>238.3345854189937</v>
      </c>
      <c r="K99" s="14">
        <v>234.16666667000001</v>
      </c>
      <c r="L99" s="14">
        <v>233</v>
      </c>
    </row>
    <row r="100" spans="1:12" x14ac:dyDescent="0.25">
      <c r="A100" s="15">
        <v>43070</v>
      </c>
      <c r="B100" s="5" t="s">
        <v>47</v>
      </c>
      <c r="C100" s="14">
        <v>234</v>
      </c>
      <c r="D100" s="14">
        <v>183.83394463149381</v>
      </c>
      <c r="E100" s="14">
        <v>348.77777777666671</v>
      </c>
      <c r="F100" s="14">
        <v>249.86820037279361</v>
      </c>
      <c r="G100" s="14">
        <v>198.40000051558019</v>
      </c>
      <c r="H100" s="14">
        <v>194.88692429152991</v>
      </c>
      <c r="I100" s="14">
        <v>223.89774937085059</v>
      </c>
      <c r="J100" s="14">
        <v>220.19520928996769</v>
      </c>
      <c r="K100" s="14">
        <v>232.33333332999999</v>
      </c>
      <c r="L100" s="14">
        <v>192</v>
      </c>
    </row>
    <row r="101" spans="1:12" x14ac:dyDescent="0.25">
      <c r="A101" s="15">
        <v>43101</v>
      </c>
      <c r="B101" s="5" t="s">
        <v>47</v>
      </c>
      <c r="C101" s="14">
        <v>240</v>
      </c>
      <c r="D101" s="14">
        <v>184.2692388015835</v>
      </c>
      <c r="E101" s="14">
        <v>335.25000000000011</v>
      </c>
      <c r="F101" s="14">
        <v>210.62126572185889</v>
      </c>
      <c r="G101" s="14">
        <v>233.99999946951871</v>
      </c>
      <c r="H101" s="14">
        <v>231.31914723619099</v>
      </c>
      <c r="I101" s="14">
        <v>215.94340945826659</v>
      </c>
      <c r="J101" s="14">
        <v>211.32349833259221</v>
      </c>
      <c r="K101" s="14">
        <v>247</v>
      </c>
      <c r="L101" s="14">
        <v>234</v>
      </c>
    </row>
    <row r="102" spans="1:12" x14ac:dyDescent="0.25">
      <c r="A102" s="15">
        <v>43132</v>
      </c>
      <c r="B102" s="5" t="s">
        <v>47</v>
      </c>
      <c r="C102" s="14">
        <v>268</v>
      </c>
      <c r="D102" s="14">
        <v>167.27873163573531</v>
      </c>
      <c r="E102" s="14">
        <v>244.65840517241381</v>
      </c>
      <c r="F102" s="14">
        <v>134.13171852860279</v>
      </c>
      <c r="G102" s="14">
        <v>216.77419346763239</v>
      </c>
      <c r="H102" s="14">
        <v>214.51612753439329</v>
      </c>
      <c r="I102" s="14">
        <v>160.88428703071239</v>
      </c>
      <c r="J102" s="14">
        <v>158.45729838418151</v>
      </c>
      <c r="K102" s="14">
        <v>157.875</v>
      </c>
      <c r="L102" s="14">
        <v>240</v>
      </c>
    </row>
    <row r="103" spans="1:12" x14ac:dyDescent="0.25">
      <c r="A103" s="15">
        <v>43160</v>
      </c>
      <c r="B103" s="5" t="s">
        <v>47</v>
      </c>
      <c r="C103" s="14">
        <v>381</v>
      </c>
      <c r="D103" s="14">
        <v>190.64172719287239</v>
      </c>
      <c r="E103" s="14">
        <v>213.74999999999989</v>
      </c>
      <c r="F103" s="14">
        <v>101.9676906178555</v>
      </c>
      <c r="G103" s="14">
        <v>296.71428486917699</v>
      </c>
      <c r="H103" s="14">
        <v>295.4226989734787</v>
      </c>
      <c r="I103" s="14">
        <v>240.08193281263391</v>
      </c>
      <c r="J103" s="14">
        <v>239.59178212377239</v>
      </c>
      <c r="K103" s="14">
        <v>165</v>
      </c>
      <c r="L103" s="14">
        <v>268</v>
      </c>
    </row>
    <row r="104" spans="1:12" x14ac:dyDescent="0.25">
      <c r="A104" s="15">
        <v>43191</v>
      </c>
      <c r="B104" s="5" t="s">
        <v>47</v>
      </c>
      <c r="C104" s="14">
        <v>297</v>
      </c>
      <c r="D104" s="14">
        <v>195.82588899210279</v>
      </c>
      <c r="E104" s="14">
        <v>210</v>
      </c>
      <c r="F104" s="14">
        <v>119.82565604192941</v>
      </c>
      <c r="G104" s="14">
        <v>368.70967620391451</v>
      </c>
      <c r="H104" s="14">
        <v>369.11612596202912</v>
      </c>
      <c r="I104" s="14">
        <v>369.9764880848262</v>
      </c>
      <c r="J104" s="14">
        <v>371.85469815081501</v>
      </c>
      <c r="K104" s="14">
        <v>135</v>
      </c>
      <c r="L104" s="14">
        <v>381</v>
      </c>
    </row>
    <row r="105" spans="1:12" x14ac:dyDescent="0.25">
      <c r="A105" s="15">
        <v>43221</v>
      </c>
      <c r="B105" s="5" t="s">
        <v>47</v>
      </c>
      <c r="C105" s="14">
        <v>259</v>
      </c>
      <c r="D105" s="14">
        <v>207.6077689916462</v>
      </c>
      <c r="E105" s="14">
        <v>219</v>
      </c>
      <c r="F105" s="14">
        <v>137.2623542906187</v>
      </c>
      <c r="G105" s="14">
        <v>306.90000110417611</v>
      </c>
      <c r="H105" s="14">
        <v>305.85882268831119</v>
      </c>
      <c r="I105" s="14">
        <v>308.28352453839972</v>
      </c>
      <c r="J105" s="14">
        <v>308.89944378020419</v>
      </c>
      <c r="K105" s="14">
        <v>148</v>
      </c>
      <c r="L105" s="14">
        <v>297</v>
      </c>
    </row>
    <row r="106" spans="1:12" x14ac:dyDescent="0.25">
      <c r="A106" s="15">
        <v>43252</v>
      </c>
      <c r="B106" s="5" t="s">
        <v>47</v>
      </c>
      <c r="C106" s="14">
        <v>248</v>
      </c>
      <c r="D106" s="14">
        <v>202.18677930995119</v>
      </c>
      <c r="E106" s="14">
        <v>245.875</v>
      </c>
      <c r="F106" s="14">
        <v>173.70408929695481</v>
      </c>
      <c r="G106" s="14">
        <v>250.6451619810635</v>
      </c>
      <c r="H106" s="14">
        <v>248.76550047290189</v>
      </c>
      <c r="I106" s="14">
        <v>284.8398612605701</v>
      </c>
      <c r="J106" s="14">
        <v>284.58401056137149</v>
      </c>
      <c r="K106" s="14">
        <v>163</v>
      </c>
      <c r="L106" s="14">
        <v>259</v>
      </c>
    </row>
    <row r="107" spans="1:12" x14ac:dyDescent="0.25">
      <c r="A107" s="15">
        <v>43282</v>
      </c>
      <c r="B107" s="5" t="s">
        <v>47</v>
      </c>
      <c r="C107" s="14">
        <v>283</v>
      </c>
      <c r="D107" s="14">
        <v>209.98068079751451</v>
      </c>
      <c r="E107" s="14">
        <v>252.5</v>
      </c>
      <c r="F107" s="14">
        <v>182.18852788795411</v>
      </c>
      <c r="G107" s="14">
        <v>256.26666670739661</v>
      </c>
      <c r="H107" s="14">
        <v>254.30941873464781</v>
      </c>
      <c r="I107" s="14">
        <v>255.6518703354528</v>
      </c>
      <c r="J107" s="14">
        <v>254.69498240402481</v>
      </c>
      <c r="K107" s="14">
        <v>219</v>
      </c>
      <c r="L107" s="14">
        <v>248</v>
      </c>
    </row>
    <row r="108" spans="1:12" x14ac:dyDescent="0.25">
      <c r="A108" s="15">
        <v>43313</v>
      </c>
      <c r="B108" s="5" t="s">
        <v>47</v>
      </c>
      <c r="C108" s="14">
        <v>253</v>
      </c>
      <c r="D108" s="14">
        <v>212.9344649767028</v>
      </c>
      <c r="E108" s="14">
        <v>299.99999999999989</v>
      </c>
      <c r="F108" s="14">
        <v>234.9943948412191</v>
      </c>
      <c r="G108" s="14">
        <v>282.99999960164229</v>
      </c>
      <c r="H108" s="14">
        <v>281.57402053270891</v>
      </c>
      <c r="I108" s="14">
        <v>330.94708598951593</v>
      </c>
      <c r="J108" s="14">
        <v>330.49915953141891</v>
      </c>
      <c r="K108" s="14">
        <v>239</v>
      </c>
      <c r="L108" s="14">
        <v>283</v>
      </c>
    </row>
    <row r="109" spans="1:12" x14ac:dyDescent="0.25">
      <c r="A109" s="15">
        <v>43344</v>
      </c>
      <c r="B109" s="5" t="s">
        <v>47</v>
      </c>
      <c r="C109" s="14">
        <v>263</v>
      </c>
      <c r="D109" s="14">
        <v>206.69208635917309</v>
      </c>
      <c r="E109" s="14">
        <v>293.125</v>
      </c>
      <c r="F109" s="14">
        <v>231.0875888056357</v>
      </c>
      <c r="G109" s="14">
        <v>244.83871011003379</v>
      </c>
      <c r="H109" s="14">
        <v>242.95603413169579</v>
      </c>
      <c r="I109" s="14">
        <v>249.49936641696971</v>
      </c>
      <c r="J109" s="14">
        <v>247.64131440870739</v>
      </c>
      <c r="K109" s="14">
        <v>223</v>
      </c>
      <c r="L109" s="14">
        <v>253</v>
      </c>
    </row>
    <row r="110" spans="1:12" x14ac:dyDescent="0.25">
      <c r="A110" s="15">
        <v>43374</v>
      </c>
      <c r="B110" s="5" t="s">
        <v>47</v>
      </c>
      <c r="C110" s="14">
        <v>287</v>
      </c>
      <c r="D110" s="14">
        <v>215.5258143454829</v>
      </c>
      <c r="E110" s="14">
        <v>293.95833333249988</v>
      </c>
      <c r="F110" s="14">
        <v>231.42330168090359</v>
      </c>
      <c r="G110" s="14">
        <v>271.76666638702159</v>
      </c>
      <c r="H110" s="14">
        <v>270.19110169638259</v>
      </c>
      <c r="I110" s="14">
        <v>264.48139428606339</v>
      </c>
      <c r="J110" s="14">
        <v>262.82929132406377</v>
      </c>
      <c r="K110" s="14">
        <v>233</v>
      </c>
      <c r="L110" s="14">
        <v>263</v>
      </c>
    </row>
    <row r="111" spans="1:12" x14ac:dyDescent="0.25">
      <c r="A111" s="15">
        <v>43405</v>
      </c>
      <c r="B111" s="5" t="s">
        <v>47</v>
      </c>
      <c r="C111" s="14">
        <v>252.2</v>
      </c>
      <c r="D111" s="14">
        <v>211.37565675187921</v>
      </c>
      <c r="E111" s="14">
        <v>285.79166666750012</v>
      </c>
      <c r="F111" s="14">
        <v>227.71861690140059</v>
      </c>
      <c r="G111" s="14">
        <v>277.74193526419901</v>
      </c>
      <c r="H111" s="14">
        <v>276.50254679033873</v>
      </c>
      <c r="I111" s="14">
        <v>280.23005066174352</v>
      </c>
      <c r="J111" s="14">
        <v>279.05780987743941</v>
      </c>
      <c r="K111" s="14">
        <v>192</v>
      </c>
      <c r="L111" s="14">
        <v>287</v>
      </c>
    </row>
    <row r="112" spans="1:12" x14ac:dyDescent="0.25">
      <c r="A112" s="15">
        <v>43435</v>
      </c>
      <c r="B112" s="5" t="s">
        <v>47</v>
      </c>
      <c r="C112" s="14">
        <v>271</v>
      </c>
      <c r="D112" s="14">
        <v>219.3732859343726</v>
      </c>
      <c r="E112" s="14">
        <v>320.08333333249999</v>
      </c>
      <c r="F112" s="14">
        <v>261.17440346703842</v>
      </c>
      <c r="G112" s="14">
        <v>260.606667059958</v>
      </c>
      <c r="H112" s="14">
        <v>258.89299900559553</v>
      </c>
      <c r="I112" s="14">
        <v>287.16151910206429</v>
      </c>
      <c r="J112" s="14">
        <v>285.37453474796592</v>
      </c>
      <c r="K112" s="14">
        <v>234</v>
      </c>
      <c r="L112" s="14">
        <v>252.2</v>
      </c>
    </row>
    <row r="113" spans="1:12" x14ac:dyDescent="0.25">
      <c r="A113" s="15">
        <v>43466</v>
      </c>
      <c r="B113" s="5" t="s">
        <v>47</v>
      </c>
      <c r="C113" s="14">
        <v>318.2</v>
      </c>
      <c r="D113" s="14">
        <v>220.97833060425901</v>
      </c>
      <c r="E113" s="14">
        <v>316.2</v>
      </c>
      <c r="F113" s="14">
        <v>246.00056398809531</v>
      </c>
      <c r="G113" s="14">
        <v>270.99999984512732</v>
      </c>
      <c r="H113" s="14">
        <v>269.49153151134368</v>
      </c>
      <c r="I113" s="14">
        <v>258.28530551002518</v>
      </c>
      <c r="J113" s="14">
        <v>256.16763189609122</v>
      </c>
      <c r="K113" s="14">
        <v>240</v>
      </c>
      <c r="L113" s="14">
        <v>271</v>
      </c>
    </row>
    <row r="114" spans="1:12" x14ac:dyDescent="0.25">
      <c r="A114" s="15">
        <v>43497</v>
      </c>
      <c r="B114" s="5" t="s">
        <v>47</v>
      </c>
      <c r="C114" s="14">
        <v>249.4</v>
      </c>
      <c r="D114" s="14">
        <v>203.76902427199431</v>
      </c>
      <c r="E114" s="14">
        <v>249.326724137931</v>
      </c>
      <c r="F114" s="14">
        <v>189.75680509934841</v>
      </c>
      <c r="G114" s="14">
        <v>287.40645097763309</v>
      </c>
      <c r="H114" s="14">
        <v>286.77721173003602</v>
      </c>
      <c r="I114" s="14">
        <v>251.76259205766789</v>
      </c>
      <c r="J114" s="14">
        <v>251.1325742039509</v>
      </c>
      <c r="K114" s="14">
        <v>268</v>
      </c>
      <c r="L114" s="14">
        <v>318.2</v>
      </c>
    </row>
    <row r="115" spans="1:12" x14ac:dyDescent="0.25">
      <c r="A115" s="15">
        <v>43525</v>
      </c>
      <c r="B115" s="5" t="s">
        <v>47</v>
      </c>
      <c r="C115" s="14">
        <v>301.39999999999998</v>
      </c>
      <c r="D115" s="14">
        <v>227.26291133099249</v>
      </c>
      <c r="E115" s="14">
        <v>247.2</v>
      </c>
      <c r="F115" s="14">
        <v>184.91611948093509</v>
      </c>
      <c r="G115" s="14">
        <v>276.12142919844808</v>
      </c>
      <c r="H115" s="14">
        <v>274.74638132597988</v>
      </c>
      <c r="I115" s="14">
        <v>248.01505972447401</v>
      </c>
      <c r="J115" s="14">
        <v>247.28089372768059</v>
      </c>
      <c r="K115" s="14">
        <v>381</v>
      </c>
      <c r="L115" s="14">
        <v>249.4</v>
      </c>
    </row>
    <row r="116" spans="1:12" x14ac:dyDescent="0.25">
      <c r="A116" s="15">
        <v>43556</v>
      </c>
      <c r="B116" s="5" t="s">
        <v>47</v>
      </c>
      <c r="C116" s="14">
        <v>317.39999999999998</v>
      </c>
      <c r="D116" s="14">
        <v>223.01590448152339</v>
      </c>
      <c r="E116" s="14">
        <v>227.39999999999989</v>
      </c>
      <c r="F116" s="14">
        <v>173.05824196893519</v>
      </c>
      <c r="G116" s="14">
        <v>291.6774189903096</v>
      </c>
      <c r="H116" s="14">
        <v>290.76277901749182</v>
      </c>
      <c r="I116" s="14">
        <v>279.82557574882838</v>
      </c>
      <c r="J116" s="14">
        <v>279.85029466666401</v>
      </c>
      <c r="K116" s="14">
        <v>297</v>
      </c>
      <c r="L116" s="14">
        <v>301.39999999999998</v>
      </c>
    </row>
    <row r="117" spans="1:12" x14ac:dyDescent="0.25">
      <c r="A117" s="15">
        <v>43586</v>
      </c>
      <c r="B117" s="5" t="s">
        <v>47</v>
      </c>
      <c r="C117" s="14">
        <v>265.8</v>
      </c>
      <c r="D117" s="14">
        <v>235.13547040744919</v>
      </c>
      <c r="E117" s="14">
        <v>227</v>
      </c>
      <c r="F117" s="14">
        <v>178.30450753283799</v>
      </c>
      <c r="G117" s="14">
        <v>327.97999960392713</v>
      </c>
      <c r="H117" s="14">
        <v>327.47174895478099</v>
      </c>
      <c r="I117" s="14">
        <v>319.40799171641947</v>
      </c>
      <c r="J117" s="14">
        <v>319.99951992560852</v>
      </c>
      <c r="K117" s="14">
        <v>259</v>
      </c>
      <c r="L117" s="14">
        <v>317.39999999999998</v>
      </c>
    </row>
    <row r="118" spans="1:12" x14ac:dyDescent="0.25">
      <c r="A118" s="15">
        <v>43617</v>
      </c>
      <c r="B118" s="5" t="s">
        <v>47</v>
      </c>
      <c r="C118" s="14">
        <v>193</v>
      </c>
      <c r="D118" s="14">
        <v>228.14830638120671</v>
      </c>
      <c r="E118" s="14">
        <v>246.3000000000001</v>
      </c>
      <c r="F118" s="14">
        <v>203.20738021459809</v>
      </c>
      <c r="G118" s="14">
        <v>257.22580734827818</v>
      </c>
      <c r="H118" s="14">
        <v>255.80143642610631</v>
      </c>
      <c r="I118" s="14">
        <v>284.03828142052231</v>
      </c>
      <c r="J118" s="14">
        <v>283.84879046550111</v>
      </c>
      <c r="K118" s="14">
        <v>248</v>
      </c>
      <c r="L118" s="14">
        <v>265.8</v>
      </c>
    </row>
    <row r="119" spans="1:12" x14ac:dyDescent="0.25">
      <c r="A119" s="15">
        <v>43647</v>
      </c>
      <c r="B119" s="5" t="s">
        <v>47</v>
      </c>
      <c r="C119" s="14">
        <v>250.6</v>
      </c>
      <c r="D119" s="14">
        <v>232.32566185979601</v>
      </c>
      <c r="E119" s="14">
        <v>258.60000000000002</v>
      </c>
      <c r="F119" s="14">
        <v>213.59152199955199</v>
      </c>
      <c r="G119" s="14">
        <v>199.43333432227379</v>
      </c>
      <c r="H119" s="14">
        <v>196.96307518661939</v>
      </c>
      <c r="I119" s="14">
        <v>205.12399320797431</v>
      </c>
      <c r="J119" s="14">
        <v>203.52337142511919</v>
      </c>
      <c r="K119" s="14">
        <v>283</v>
      </c>
      <c r="L119" s="14">
        <v>193</v>
      </c>
    </row>
    <row r="120" spans="1:12" x14ac:dyDescent="0.25">
      <c r="A120" s="15">
        <v>43678</v>
      </c>
      <c r="B120" s="5" t="s">
        <v>47</v>
      </c>
      <c r="C120" s="14">
        <v>237</v>
      </c>
      <c r="D120" s="14">
        <v>232.1410053655288</v>
      </c>
      <c r="E120" s="14">
        <v>290.60000000000002</v>
      </c>
      <c r="F120" s="14">
        <v>247.20058626044019</v>
      </c>
      <c r="G120" s="14">
        <v>250.59999923755731</v>
      </c>
      <c r="H120" s="14">
        <v>248.94244491586181</v>
      </c>
      <c r="I120" s="14">
        <v>283.51122880382968</v>
      </c>
      <c r="J120" s="14">
        <v>282.60001613771931</v>
      </c>
      <c r="K120" s="14">
        <v>253</v>
      </c>
      <c r="L120" s="14">
        <v>250.6</v>
      </c>
    </row>
    <row r="121" spans="1:12" x14ac:dyDescent="0.25">
      <c r="A121" s="15">
        <v>43709</v>
      </c>
      <c r="B121" s="5" t="s">
        <v>47</v>
      </c>
      <c r="C121" s="14">
        <v>227.8</v>
      </c>
      <c r="D121" s="14">
        <v>223.71796753112781</v>
      </c>
      <c r="E121" s="14">
        <v>287.10000000000002</v>
      </c>
      <c r="F121" s="14">
        <v>244.689253386698</v>
      </c>
      <c r="G121" s="14">
        <v>229.3548389057959</v>
      </c>
      <c r="H121" s="14">
        <v>227.57823747335161</v>
      </c>
      <c r="I121" s="14">
        <v>236.803010286834</v>
      </c>
      <c r="J121" s="14">
        <v>235.22872323389271</v>
      </c>
      <c r="K121" s="14">
        <v>263</v>
      </c>
      <c r="L121" s="14">
        <v>237</v>
      </c>
    </row>
    <row r="122" spans="1:12" x14ac:dyDescent="0.25">
      <c r="A122" s="15">
        <v>43009</v>
      </c>
      <c r="B122" s="5" t="s">
        <v>51</v>
      </c>
      <c r="C122" s="14">
        <v>15</v>
      </c>
      <c r="D122" s="14">
        <v>13.450816788575411</v>
      </c>
      <c r="E122" s="14">
        <v>12.66666666666667</v>
      </c>
      <c r="F122" s="14">
        <v>8.6405373643711041</v>
      </c>
      <c r="G122" s="14">
        <v>16.575610635981359</v>
      </c>
      <c r="H122" s="14">
        <v>15.270212963641679</v>
      </c>
      <c r="I122" s="14">
        <v>13.90446321712697</v>
      </c>
      <c r="J122" s="14">
        <v>13.008258722509</v>
      </c>
      <c r="K122" s="14">
        <v>11</v>
      </c>
      <c r="L122" s="14">
        <v>23</v>
      </c>
    </row>
    <row r="123" spans="1:12" x14ac:dyDescent="0.25">
      <c r="A123" s="15">
        <v>43040</v>
      </c>
      <c r="B123" s="5" t="s">
        <v>51</v>
      </c>
      <c r="C123" s="14">
        <v>15</v>
      </c>
      <c r="D123" s="14">
        <v>12.975029075324089</v>
      </c>
      <c r="E123" s="14">
        <v>21.333333333333339</v>
      </c>
      <c r="F123" s="14">
        <v>17.77898576312845</v>
      </c>
      <c r="G123" s="14">
        <v>15.55408695232992</v>
      </c>
      <c r="H123" s="14">
        <v>14.457590302881581</v>
      </c>
      <c r="I123" s="14">
        <v>23.099180082934659</v>
      </c>
      <c r="J123" s="14">
        <v>22.361230796314508</v>
      </c>
      <c r="K123" s="14">
        <v>27</v>
      </c>
      <c r="L123" s="14">
        <v>15</v>
      </c>
    </row>
    <row r="124" spans="1:12" x14ac:dyDescent="0.25">
      <c r="A124" s="15">
        <v>43070</v>
      </c>
      <c r="B124" s="5" t="s">
        <v>51</v>
      </c>
      <c r="C124" s="14">
        <v>6</v>
      </c>
      <c r="D124" s="14">
        <v>13.41191357208932</v>
      </c>
      <c r="E124" s="14">
        <v>25</v>
      </c>
      <c r="F124" s="14">
        <v>21.176036355255981</v>
      </c>
      <c r="G124" s="14">
        <v>15.898769119455279</v>
      </c>
      <c r="H124" s="14">
        <v>14.85657616391059</v>
      </c>
      <c r="I124" s="14">
        <v>24.400831250175901</v>
      </c>
      <c r="J124" s="14">
        <v>23.563933946496221</v>
      </c>
      <c r="K124" s="14">
        <v>21</v>
      </c>
      <c r="L124" s="14">
        <v>15</v>
      </c>
    </row>
    <row r="125" spans="1:12" x14ac:dyDescent="0.25">
      <c r="A125" s="15">
        <v>43101</v>
      </c>
      <c r="B125" s="5" t="s">
        <v>51</v>
      </c>
      <c r="C125" s="14">
        <v>11</v>
      </c>
      <c r="D125" s="14">
        <v>12.62612016560109</v>
      </c>
      <c r="E125" s="14">
        <v>26</v>
      </c>
      <c r="F125" s="14">
        <v>20.271543171866401</v>
      </c>
      <c r="G125" s="14">
        <v>13.01357556164437</v>
      </c>
      <c r="H125" s="14">
        <v>12.26865977533692</v>
      </c>
      <c r="I125" s="14">
        <v>17.580304487129482</v>
      </c>
      <c r="J125" s="14">
        <v>16.82116753655821</v>
      </c>
      <c r="K125" s="14">
        <v>24</v>
      </c>
      <c r="L125" s="14">
        <v>6</v>
      </c>
    </row>
    <row r="126" spans="1:12" x14ac:dyDescent="0.25">
      <c r="A126" s="15">
        <v>43132</v>
      </c>
      <c r="B126" s="5" t="s">
        <v>51</v>
      </c>
      <c r="C126" s="14">
        <v>12</v>
      </c>
      <c r="D126" s="14">
        <v>11.11539825051265</v>
      </c>
      <c r="E126" s="14">
        <v>16.577586206896552</v>
      </c>
      <c r="F126" s="14">
        <v>10.75931947177777</v>
      </c>
      <c r="G126" s="14">
        <v>11.16718710653484</v>
      </c>
      <c r="H126" s="14">
        <v>10.51074007525035</v>
      </c>
      <c r="I126" s="14">
        <v>6.4334792756913064</v>
      </c>
      <c r="J126" s="14">
        <v>5.9544564638207076</v>
      </c>
      <c r="K126" s="14">
        <v>7</v>
      </c>
      <c r="L126" s="14">
        <v>11</v>
      </c>
    </row>
    <row r="127" spans="1:12" x14ac:dyDescent="0.25">
      <c r="A127" s="15">
        <v>43160</v>
      </c>
      <c r="B127" s="5" t="s">
        <v>51</v>
      </c>
      <c r="C127" s="14">
        <v>42</v>
      </c>
      <c r="D127" s="14">
        <v>12.193659997989339</v>
      </c>
      <c r="E127" s="14">
        <v>13.75</v>
      </c>
      <c r="F127" s="14">
        <v>7.4064625850338537</v>
      </c>
      <c r="G127" s="14">
        <v>12.655055741891109</v>
      </c>
      <c r="H127" s="14">
        <v>11.77790261476143</v>
      </c>
      <c r="I127" s="14">
        <v>5.4459985801001292</v>
      </c>
      <c r="J127" s="14">
        <v>4.5632234294903116</v>
      </c>
      <c r="K127" s="14">
        <v>9</v>
      </c>
      <c r="L127" s="14">
        <v>12</v>
      </c>
    </row>
    <row r="128" spans="1:12" x14ac:dyDescent="0.25">
      <c r="A128" s="15">
        <v>43191</v>
      </c>
      <c r="B128" s="5" t="s">
        <v>51</v>
      </c>
      <c r="C128" s="14">
        <v>15</v>
      </c>
      <c r="D128" s="14">
        <v>13.88002486422822</v>
      </c>
      <c r="E128" s="14">
        <v>12.5</v>
      </c>
      <c r="F128" s="14">
        <v>8.5929339477723818</v>
      </c>
      <c r="G128" s="14">
        <v>18.799855116113761</v>
      </c>
      <c r="H128" s="14">
        <v>13.88000911086568</v>
      </c>
      <c r="I128" s="14">
        <v>13.05031062683469</v>
      </c>
      <c r="J128" s="14">
        <v>8.5929125966042186</v>
      </c>
      <c r="K128" s="14">
        <v>9</v>
      </c>
      <c r="L128" s="14">
        <v>42</v>
      </c>
    </row>
    <row r="129" spans="1:12" x14ac:dyDescent="0.25">
      <c r="A129" s="15">
        <v>43221</v>
      </c>
      <c r="B129" s="5" t="s">
        <v>51</v>
      </c>
      <c r="C129" s="14">
        <v>13</v>
      </c>
      <c r="D129" s="14">
        <v>14.31043138740908</v>
      </c>
      <c r="E129" s="14">
        <v>18.75</v>
      </c>
      <c r="F129" s="14">
        <v>15.12648809523758</v>
      </c>
      <c r="G129" s="14">
        <v>18.144685674058291</v>
      </c>
      <c r="H129" s="14">
        <v>14.31042302818495</v>
      </c>
      <c r="I129" s="14">
        <v>20.08269228741182</v>
      </c>
      <c r="J129" s="14">
        <v>18.670869910090211</v>
      </c>
      <c r="K129" s="14">
        <v>23</v>
      </c>
      <c r="L129" s="14">
        <v>15</v>
      </c>
    </row>
    <row r="130" spans="1:12" x14ac:dyDescent="0.25">
      <c r="A130" s="15">
        <v>43252</v>
      </c>
      <c r="B130" s="5" t="s">
        <v>51</v>
      </c>
      <c r="C130" s="14">
        <v>18</v>
      </c>
      <c r="D130" s="14">
        <v>13.63816045750375</v>
      </c>
      <c r="E130" s="14">
        <v>15.75</v>
      </c>
      <c r="F130" s="14">
        <v>12.12232312279683</v>
      </c>
      <c r="G130" s="14">
        <v>16.478818209172669</v>
      </c>
      <c r="H130" s="14">
        <v>13.638144144979989</v>
      </c>
      <c r="I130" s="14">
        <v>15.442344751127189</v>
      </c>
      <c r="J130" s="14">
        <v>12.12234975622483</v>
      </c>
      <c r="K130" s="14">
        <v>8</v>
      </c>
      <c r="L130" s="14">
        <v>13</v>
      </c>
    </row>
    <row r="131" spans="1:12" x14ac:dyDescent="0.25">
      <c r="A131" s="15">
        <v>43282</v>
      </c>
      <c r="B131" s="5" t="s">
        <v>51</v>
      </c>
      <c r="C131" s="14">
        <v>19</v>
      </c>
      <c r="D131" s="14">
        <v>14.305122670770039</v>
      </c>
      <c r="E131" s="14">
        <v>12.5</v>
      </c>
      <c r="F131" s="14">
        <v>9.0888227513220432</v>
      </c>
      <c r="G131" s="14">
        <v>17.314759377867929</v>
      </c>
      <c r="H131" s="14">
        <v>14.30511916398437</v>
      </c>
      <c r="I131" s="14">
        <v>12.84977566519794</v>
      </c>
      <c r="J131" s="14">
        <v>9.0888134199532313</v>
      </c>
      <c r="K131" s="14">
        <v>15</v>
      </c>
      <c r="L131" s="14">
        <v>18</v>
      </c>
    </row>
    <row r="132" spans="1:12" x14ac:dyDescent="0.25">
      <c r="A132" s="15">
        <v>43313</v>
      </c>
      <c r="B132" s="5" t="s">
        <v>51</v>
      </c>
      <c r="C132" s="14">
        <v>20</v>
      </c>
      <c r="D132" s="14">
        <v>14.534161483471831</v>
      </c>
      <c r="E132" s="14">
        <v>16.999999999999989</v>
      </c>
      <c r="F132" s="14">
        <v>14.110463659147021</v>
      </c>
      <c r="G132" s="14">
        <v>17.62878765182829</v>
      </c>
      <c r="H132" s="14">
        <v>14.534143919556181</v>
      </c>
      <c r="I132" s="14">
        <v>18.798114094408241</v>
      </c>
      <c r="J132" s="14">
        <v>17.91917228253099</v>
      </c>
      <c r="K132" s="14">
        <v>12</v>
      </c>
      <c r="L132" s="14">
        <v>19</v>
      </c>
    </row>
    <row r="133" spans="1:12" x14ac:dyDescent="0.25">
      <c r="A133" s="15">
        <v>43344</v>
      </c>
      <c r="B133" s="5" t="s">
        <v>51</v>
      </c>
      <c r="C133" s="14">
        <v>12</v>
      </c>
      <c r="D133" s="14">
        <v>14.343210555533769</v>
      </c>
      <c r="E133" s="14">
        <v>16.5</v>
      </c>
      <c r="F133" s="14">
        <v>13.988652073732011</v>
      </c>
      <c r="G133" s="14">
        <v>17.49954147726358</v>
      </c>
      <c r="H133" s="14">
        <v>15.56322736657255</v>
      </c>
      <c r="I133" s="14">
        <v>18.619886083559301</v>
      </c>
      <c r="J133" s="14">
        <v>17.914710802323</v>
      </c>
      <c r="K133" s="14">
        <v>23</v>
      </c>
      <c r="L133" s="14">
        <v>20</v>
      </c>
    </row>
    <row r="134" spans="1:12" x14ac:dyDescent="0.25">
      <c r="A134" s="15">
        <v>43374</v>
      </c>
      <c r="B134" s="5" t="s">
        <v>51</v>
      </c>
      <c r="C134" s="14">
        <v>25</v>
      </c>
      <c r="D134" s="14">
        <v>14.558413737545839</v>
      </c>
      <c r="E134" s="14">
        <v>13.25</v>
      </c>
      <c r="F134" s="14">
        <v>10.557086167799611</v>
      </c>
      <c r="G134" s="14">
        <v>17.042857734424519</v>
      </c>
      <c r="H134" s="14">
        <v>14.558395243513379</v>
      </c>
      <c r="I134" s="14">
        <v>14.11514469753209</v>
      </c>
      <c r="J134" s="14">
        <v>13.28445702556567</v>
      </c>
      <c r="K134" s="14">
        <v>15</v>
      </c>
      <c r="L134" s="14">
        <v>12</v>
      </c>
    </row>
    <row r="135" spans="1:12" x14ac:dyDescent="0.25">
      <c r="A135" s="15">
        <v>43405</v>
      </c>
      <c r="B135" s="5" t="s">
        <v>51</v>
      </c>
      <c r="C135" s="14">
        <v>22</v>
      </c>
      <c r="D135" s="14">
        <v>14.691427660094201</v>
      </c>
      <c r="E135" s="14">
        <v>19.75</v>
      </c>
      <c r="F135" s="14">
        <v>17.779273146207871</v>
      </c>
      <c r="G135" s="14">
        <v>17.80907283606237</v>
      </c>
      <c r="H135" s="14">
        <v>16.901528472204969</v>
      </c>
      <c r="I135" s="14">
        <v>22.759454480437469</v>
      </c>
      <c r="J135" s="14">
        <v>22.18338899148149</v>
      </c>
      <c r="K135" s="14">
        <v>15</v>
      </c>
      <c r="L135" s="14">
        <v>25</v>
      </c>
    </row>
    <row r="136" spans="1:12" x14ac:dyDescent="0.25">
      <c r="A136" s="15">
        <v>43435</v>
      </c>
      <c r="B136" s="5" t="s">
        <v>51</v>
      </c>
      <c r="C136" s="14">
        <v>32</v>
      </c>
      <c r="D136" s="14">
        <v>15.61408153942566</v>
      </c>
      <c r="E136" s="14">
        <v>20.25</v>
      </c>
      <c r="F136" s="14">
        <v>18.403209109730941</v>
      </c>
      <c r="G136" s="14">
        <v>19.248697162638361</v>
      </c>
      <c r="H136" s="14">
        <v>18.53544726574977</v>
      </c>
      <c r="I136" s="14">
        <v>23.282281440203221</v>
      </c>
      <c r="J136" s="14">
        <v>22.718397635670069</v>
      </c>
      <c r="K136" s="14">
        <v>6</v>
      </c>
      <c r="L136" s="14">
        <v>22</v>
      </c>
    </row>
    <row r="137" spans="1:12" x14ac:dyDescent="0.25">
      <c r="A137" s="15">
        <v>43466</v>
      </c>
      <c r="B137" s="5" t="s">
        <v>51</v>
      </c>
      <c r="C137" s="14">
        <v>24</v>
      </c>
      <c r="D137" s="14">
        <v>16.64020307441114</v>
      </c>
      <c r="E137" s="14">
        <v>22.999999999999989</v>
      </c>
      <c r="F137" s="14">
        <v>21.46369047619055</v>
      </c>
      <c r="G137" s="14">
        <v>22.172233031239781</v>
      </c>
      <c r="H137" s="14">
        <v>21.868571215984069</v>
      </c>
      <c r="I137" s="14">
        <v>26.407899436926119</v>
      </c>
      <c r="J137" s="14">
        <v>26.02822562251437</v>
      </c>
      <c r="K137" s="14">
        <v>11</v>
      </c>
      <c r="L137" s="14">
        <v>32</v>
      </c>
    </row>
    <row r="138" spans="1:12" x14ac:dyDescent="0.25">
      <c r="A138" s="15">
        <v>43497</v>
      </c>
      <c r="B138" s="5" t="s">
        <v>51</v>
      </c>
      <c r="C138" s="14">
        <v>12</v>
      </c>
      <c r="D138" s="14">
        <v>15.430169404985509</v>
      </c>
      <c r="E138" s="14">
        <v>15.662068965517239</v>
      </c>
      <c r="F138" s="14">
        <v>14.40919104015363</v>
      </c>
      <c r="G138" s="14">
        <v>20.489729034923691</v>
      </c>
      <c r="H138" s="14">
        <v>20.29252168895853</v>
      </c>
      <c r="I138" s="14">
        <v>18.290619853268531</v>
      </c>
      <c r="J138" s="14">
        <v>17.932915153116191</v>
      </c>
      <c r="K138" s="14">
        <v>12</v>
      </c>
      <c r="L138" s="14">
        <v>24</v>
      </c>
    </row>
    <row r="139" spans="1:12" x14ac:dyDescent="0.25">
      <c r="A139" s="15">
        <v>43525</v>
      </c>
      <c r="B139" s="5" t="s">
        <v>51</v>
      </c>
      <c r="C139" s="14">
        <v>19</v>
      </c>
      <c r="D139" s="14">
        <v>16.81065491277932</v>
      </c>
      <c r="E139" s="14">
        <v>19.399999999999999</v>
      </c>
      <c r="F139" s="14">
        <v>17.864700784528271</v>
      </c>
      <c r="G139" s="14">
        <v>20.452195409934749</v>
      </c>
      <c r="H139" s="14">
        <v>20.050980445313321</v>
      </c>
      <c r="I139" s="14">
        <v>20.944118260543409</v>
      </c>
      <c r="J139" s="14">
        <v>20.432967322061248</v>
      </c>
      <c r="K139" s="14">
        <v>42</v>
      </c>
      <c r="L139" s="14">
        <v>12</v>
      </c>
    </row>
    <row r="140" spans="1:12" x14ac:dyDescent="0.25">
      <c r="A140" s="15">
        <v>43556</v>
      </c>
      <c r="B140" s="5" t="s">
        <v>51</v>
      </c>
      <c r="C140" s="14">
        <v>22</v>
      </c>
      <c r="D140" s="14">
        <v>16.37041209728477</v>
      </c>
      <c r="E140" s="14">
        <v>13</v>
      </c>
      <c r="F140" s="14">
        <v>11.572051653048</v>
      </c>
      <c r="G140" s="14">
        <v>19.523994711914931</v>
      </c>
      <c r="H140" s="14">
        <v>19.122534727185961</v>
      </c>
      <c r="I140" s="14">
        <v>14.20805132111245</v>
      </c>
      <c r="J140" s="14">
        <v>13.708155147200619</v>
      </c>
      <c r="K140" s="14">
        <v>15</v>
      </c>
      <c r="L140" s="14">
        <v>19</v>
      </c>
    </row>
    <row r="141" spans="1:12" x14ac:dyDescent="0.25">
      <c r="A141" s="15">
        <v>43586</v>
      </c>
      <c r="B141" s="5" t="s">
        <v>51</v>
      </c>
      <c r="C141" s="14">
        <v>26</v>
      </c>
      <c r="D141" s="14">
        <v>17.249359557041199</v>
      </c>
      <c r="E141" s="14">
        <v>17.600000000000001</v>
      </c>
      <c r="F141" s="14">
        <v>16.663230706075389</v>
      </c>
      <c r="G141" s="14">
        <v>20.654672361983359</v>
      </c>
      <c r="H141" s="14">
        <v>20.298842976372679</v>
      </c>
      <c r="I141" s="14">
        <v>20.484844511130039</v>
      </c>
      <c r="J141" s="14">
        <v>20.11464883029193</v>
      </c>
      <c r="K141" s="14">
        <v>13</v>
      </c>
      <c r="L141" s="14">
        <v>22</v>
      </c>
    </row>
    <row r="142" spans="1:12" x14ac:dyDescent="0.25">
      <c r="A142" s="15">
        <v>43617</v>
      </c>
      <c r="B142" s="5" t="s">
        <v>51</v>
      </c>
      <c r="C142" s="14">
        <v>25</v>
      </c>
      <c r="D142" s="14">
        <v>17.19284541584668</v>
      </c>
      <c r="E142" s="14">
        <v>16.2</v>
      </c>
      <c r="F142" s="14">
        <v>15.723714936475069</v>
      </c>
      <c r="G142" s="14">
        <v>20.997390255729972</v>
      </c>
      <c r="H142" s="14">
        <v>20.75762594911328</v>
      </c>
      <c r="I142" s="14">
        <v>20.139411483281251</v>
      </c>
      <c r="J142" s="14">
        <v>19.89161461279679</v>
      </c>
      <c r="K142" s="14">
        <v>18</v>
      </c>
      <c r="L142" s="14">
        <v>26</v>
      </c>
    </row>
    <row r="143" spans="1:12" x14ac:dyDescent="0.25">
      <c r="A143" s="15">
        <v>43647</v>
      </c>
      <c r="B143" s="5" t="s">
        <v>51</v>
      </c>
      <c r="C143" s="14">
        <v>20</v>
      </c>
      <c r="D143" s="14">
        <v>18.245191590019179</v>
      </c>
      <c r="E143" s="14">
        <v>13.8</v>
      </c>
      <c r="F143" s="14">
        <v>13.74354306612917</v>
      </c>
      <c r="G143" s="14">
        <v>22.562360610328039</v>
      </c>
      <c r="H143" s="14">
        <v>22.395413782579428</v>
      </c>
      <c r="I143" s="14">
        <v>19.020974877328999</v>
      </c>
      <c r="J143" s="14">
        <v>18.862043180655331</v>
      </c>
      <c r="K143" s="14">
        <v>19</v>
      </c>
      <c r="L143" s="14">
        <v>25</v>
      </c>
    </row>
    <row r="144" spans="1:12" x14ac:dyDescent="0.25">
      <c r="A144" s="15">
        <v>43678</v>
      </c>
      <c r="B144" s="5" t="s">
        <v>51</v>
      </c>
      <c r="C144" s="14">
        <v>26</v>
      </c>
      <c r="D144" s="14">
        <v>18.351220944092791</v>
      </c>
      <c r="E144" s="14">
        <v>17.600000000000001</v>
      </c>
      <c r="F144" s="14">
        <v>17.815562932819109</v>
      </c>
      <c r="G144" s="14">
        <v>22.02436588967138</v>
      </c>
      <c r="H144" s="14">
        <v>21.819494896912119</v>
      </c>
      <c r="I144" s="14">
        <v>23.075883004726059</v>
      </c>
      <c r="J144" s="14">
        <v>22.940105899012568</v>
      </c>
      <c r="K144" s="14">
        <v>20</v>
      </c>
      <c r="L144" s="14">
        <v>20</v>
      </c>
    </row>
    <row r="145" spans="1:12" x14ac:dyDescent="0.25">
      <c r="A145" s="15">
        <v>43709</v>
      </c>
      <c r="B145" s="5" t="s">
        <v>51</v>
      </c>
      <c r="C145" s="14">
        <v>16</v>
      </c>
      <c r="D145" s="14">
        <v>18.198120757110299</v>
      </c>
      <c r="E145" s="14">
        <v>15.6</v>
      </c>
      <c r="F145" s="14">
        <v>16.138626913501589</v>
      </c>
      <c r="G145" s="14">
        <v>22.092070864331021</v>
      </c>
      <c r="H145" s="14">
        <v>21.961769785804751</v>
      </c>
      <c r="I145" s="14">
        <v>21.570135130079461</v>
      </c>
      <c r="J145" s="14">
        <v>22.51840328254853</v>
      </c>
      <c r="K145" s="14">
        <v>12</v>
      </c>
      <c r="L145" s="14">
        <v>26</v>
      </c>
    </row>
    <row r="146" spans="1:12" x14ac:dyDescent="0.25">
      <c r="A146" s="15">
        <v>43009</v>
      </c>
      <c r="B146" s="5" t="s">
        <v>57</v>
      </c>
      <c r="C146" s="14">
        <v>252</v>
      </c>
      <c r="D146" s="14">
        <v>173.7946533271965</v>
      </c>
      <c r="E146" s="14">
        <v>187</v>
      </c>
      <c r="F146" s="14">
        <v>226.8756676808658</v>
      </c>
      <c r="G146" s="14">
        <v>125.6466706250212</v>
      </c>
      <c r="H146" s="14">
        <v>125.9222023175307</v>
      </c>
      <c r="I146" s="14">
        <v>202.27991035464879</v>
      </c>
      <c r="J146" s="14">
        <v>226.87564150378881</v>
      </c>
      <c r="K146" s="14">
        <v>220</v>
      </c>
      <c r="L146" s="14">
        <v>139</v>
      </c>
    </row>
    <row r="147" spans="1:12" x14ac:dyDescent="0.25">
      <c r="A147" s="15">
        <v>43040</v>
      </c>
      <c r="B147" s="5" t="s">
        <v>57</v>
      </c>
      <c r="C147" s="14">
        <v>196</v>
      </c>
      <c r="D147" s="14">
        <v>175.95243783638131</v>
      </c>
      <c r="E147" s="14">
        <v>142.3333333333334</v>
      </c>
      <c r="F147" s="14">
        <v>182.27345970828591</v>
      </c>
      <c r="G147" s="14">
        <v>200.3847370041467</v>
      </c>
      <c r="H147" s="14">
        <v>203.33551340527251</v>
      </c>
      <c r="I147" s="14">
        <v>166.5400760218059</v>
      </c>
      <c r="J147" s="14">
        <v>182.27288334715851</v>
      </c>
      <c r="K147" s="14">
        <v>150</v>
      </c>
      <c r="L147" s="14">
        <v>252</v>
      </c>
    </row>
    <row r="148" spans="1:12" x14ac:dyDescent="0.25">
      <c r="A148" s="15">
        <v>43070</v>
      </c>
      <c r="B148" s="5" t="s">
        <v>57</v>
      </c>
      <c r="C148" s="14">
        <v>209</v>
      </c>
      <c r="D148" s="14">
        <v>185.02000407471041</v>
      </c>
      <c r="E148" s="14">
        <v>229.00000000000011</v>
      </c>
      <c r="F148" s="14">
        <v>271.01799505948833</v>
      </c>
      <c r="G148" s="14">
        <v>203.8928603230928</v>
      </c>
      <c r="H148" s="14">
        <v>206.69290118117419</v>
      </c>
      <c r="I148" s="14">
        <v>259.97819667003182</v>
      </c>
      <c r="J148" s="14">
        <v>271.01603798125512</v>
      </c>
      <c r="K148" s="14">
        <v>281</v>
      </c>
      <c r="L148" s="14">
        <v>196</v>
      </c>
    </row>
    <row r="149" spans="1:12" x14ac:dyDescent="0.25">
      <c r="A149" s="15">
        <v>43101</v>
      </c>
      <c r="B149" s="5" t="s">
        <v>57</v>
      </c>
      <c r="C149" s="14">
        <v>222</v>
      </c>
      <c r="D149" s="14">
        <v>188.51286927616479</v>
      </c>
      <c r="E149" s="14">
        <v>177.3125</v>
      </c>
      <c r="F149" s="14">
        <v>225.95886913314169</v>
      </c>
      <c r="G149" s="14">
        <v>207.19079608729251</v>
      </c>
      <c r="H149" s="14">
        <v>210.1182087982738</v>
      </c>
      <c r="I149" s="14">
        <v>207.752118191242</v>
      </c>
      <c r="J149" s="14">
        <v>225.95884610465291</v>
      </c>
      <c r="K149" s="14">
        <v>198</v>
      </c>
      <c r="L149" s="14">
        <v>209</v>
      </c>
    </row>
    <row r="150" spans="1:12" x14ac:dyDescent="0.25">
      <c r="A150" s="15">
        <v>43132</v>
      </c>
      <c r="B150" s="5" t="s">
        <v>57</v>
      </c>
      <c r="C150" s="14">
        <v>224.25</v>
      </c>
      <c r="D150" s="14">
        <v>174.14393908008131</v>
      </c>
      <c r="E150" s="14">
        <v>173.13793103448279</v>
      </c>
      <c r="F150" s="14">
        <v>216.80152912067521</v>
      </c>
      <c r="G150" s="14">
        <v>195.7436817647019</v>
      </c>
      <c r="H150" s="14">
        <v>198.5852291821131</v>
      </c>
      <c r="I150" s="14">
        <v>202.33941198188759</v>
      </c>
      <c r="J150" s="14">
        <v>216.80156664919701</v>
      </c>
      <c r="K150" s="14">
        <v>126</v>
      </c>
      <c r="L150" s="14">
        <v>222</v>
      </c>
    </row>
    <row r="151" spans="1:12" x14ac:dyDescent="0.25">
      <c r="A151" s="15">
        <v>43160</v>
      </c>
      <c r="B151" s="5" t="s">
        <v>57</v>
      </c>
      <c r="C151" s="14">
        <v>269</v>
      </c>
      <c r="D151" s="14">
        <v>198.87789862940249</v>
      </c>
      <c r="E151" s="14">
        <v>161</v>
      </c>
      <c r="F151" s="14">
        <v>209.93087797619029</v>
      </c>
      <c r="G151" s="14">
        <v>237.21178867195979</v>
      </c>
      <c r="H151" s="14">
        <v>240.7533300131233</v>
      </c>
      <c r="I151" s="14">
        <v>197.59573519896881</v>
      </c>
      <c r="J151" s="14">
        <v>209.94226662874809</v>
      </c>
      <c r="K151" s="14">
        <v>109</v>
      </c>
      <c r="L151" s="14">
        <v>224.25</v>
      </c>
    </row>
    <row r="152" spans="1:12" x14ac:dyDescent="0.25">
      <c r="A152" s="15">
        <v>43191</v>
      </c>
      <c r="B152" s="5" t="s">
        <v>57</v>
      </c>
      <c r="C152" s="14">
        <v>229</v>
      </c>
      <c r="D152" s="14">
        <v>199.4960464319208</v>
      </c>
      <c r="E152" s="14">
        <v>149.46875</v>
      </c>
      <c r="F152" s="14">
        <v>200.63212365591411</v>
      </c>
      <c r="G152" s="14">
        <v>249.95031339176461</v>
      </c>
      <c r="H152" s="14">
        <v>253.7525245688937</v>
      </c>
      <c r="I152" s="14">
        <v>201.58823738821269</v>
      </c>
      <c r="J152" s="14">
        <v>200.6320879471057</v>
      </c>
      <c r="K152" s="14">
        <v>187.875</v>
      </c>
      <c r="L152" s="14">
        <v>269</v>
      </c>
    </row>
    <row r="153" spans="1:12" x14ac:dyDescent="0.25">
      <c r="A153" s="15">
        <v>43221</v>
      </c>
      <c r="B153" s="5" t="s">
        <v>57</v>
      </c>
      <c r="C153" s="14">
        <v>167</v>
      </c>
      <c r="D153" s="14">
        <v>210.41799134773271</v>
      </c>
      <c r="E153" s="14">
        <v>117.75</v>
      </c>
      <c r="F153" s="14">
        <v>172.450911458332</v>
      </c>
      <c r="G153" s="14">
        <v>244.07614446956441</v>
      </c>
      <c r="H153" s="14">
        <v>248.06788771828019</v>
      </c>
      <c r="I153" s="14">
        <v>178.51315850719769</v>
      </c>
      <c r="J153" s="14">
        <v>172.4508886523997</v>
      </c>
      <c r="K153" s="14">
        <v>128</v>
      </c>
      <c r="L153" s="14">
        <v>229</v>
      </c>
    </row>
    <row r="154" spans="1:12" x14ac:dyDescent="0.25">
      <c r="A154" s="15">
        <v>43252</v>
      </c>
      <c r="B154" s="5" t="s">
        <v>57</v>
      </c>
      <c r="C154" s="14">
        <v>101</v>
      </c>
      <c r="D154" s="14">
        <v>202.38815385560989</v>
      </c>
      <c r="E154" s="14">
        <v>135</v>
      </c>
      <c r="F154" s="14">
        <v>187.6260673624256</v>
      </c>
      <c r="G154" s="14">
        <v>187.4017375636985</v>
      </c>
      <c r="H154" s="14">
        <v>190.12935083198741</v>
      </c>
      <c r="I154" s="14">
        <v>188.02756210953109</v>
      </c>
      <c r="J154" s="14">
        <v>187.6260695884244</v>
      </c>
      <c r="K154" s="14">
        <v>163</v>
      </c>
      <c r="L154" s="14">
        <v>167</v>
      </c>
    </row>
    <row r="155" spans="1:12" x14ac:dyDescent="0.25">
      <c r="A155" s="15">
        <v>43282</v>
      </c>
      <c r="B155" s="5" t="s">
        <v>57</v>
      </c>
      <c r="C155" s="14">
        <v>90</v>
      </c>
      <c r="D155" s="14">
        <v>203.27609170731591</v>
      </c>
      <c r="E155" s="14">
        <v>86.25</v>
      </c>
      <c r="F155" s="14">
        <v>135.6572916666627</v>
      </c>
      <c r="G155" s="14">
        <v>128.19106272477879</v>
      </c>
      <c r="H155" s="14">
        <v>128.49063578111779</v>
      </c>
      <c r="I155" s="14">
        <v>116.27555208740981</v>
      </c>
      <c r="J155" s="14">
        <v>135.66995289405591</v>
      </c>
      <c r="K155" s="14">
        <v>115</v>
      </c>
      <c r="L155" s="14">
        <v>101</v>
      </c>
    </row>
    <row r="156" spans="1:12" x14ac:dyDescent="0.25">
      <c r="A156" s="15">
        <v>43313</v>
      </c>
      <c r="B156" s="5" t="s">
        <v>57</v>
      </c>
      <c r="C156" s="14">
        <v>159</v>
      </c>
      <c r="D156" s="14">
        <v>196.72841924997101</v>
      </c>
      <c r="E156" s="14">
        <v>68.250000000000014</v>
      </c>
      <c r="F156" s="14">
        <v>115.25427631578511</v>
      </c>
      <c r="G156" s="14">
        <v>98.775870980920544</v>
      </c>
      <c r="H156" s="14">
        <v>98.276117255753149</v>
      </c>
      <c r="I156" s="14">
        <v>90.034435420455438</v>
      </c>
      <c r="J156" s="14">
        <v>115.2568244584541</v>
      </c>
      <c r="K156" s="14">
        <v>75</v>
      </c>
      <c r="L156" s="14">
        <v>90</v>
      </c>
    </row>
    <row r="157" spans="1:12" x14ac:dyDescent="0.25">
      <c r="A157" s="15">
        <v>43344</v>
      </c>
      <c r="B157" s="5" t="s">
        <v>57</v>
      </c>
      <c r="C157" s="14">
        <v>205</v>
      </c>
      <c r="D157" s="14">
        <v>189.1968902006146</v>
      </c>
      <c r="E157" s="14">
        <v>116.5</v>
      </c>
      <c r="F157" s="14">
        <v>164.10473790321981</v>
      </c>
      <c r="G157" s="14">
        <v>137.9757230073385</v>
      </c>
      <c r="H157" s="14">
        <v>138.57570172351549</v>
      </c>
      <c r="I157" s="14">
        <v>151.19056365186299</v>
      </c>
      <c r="J157" s="14">
        <v>164.10478596460231</v>
      </c>
      <c r="K157" s="14">
        <v>139</v>
      </c>
      <c r="L157" s="14">
        <v>159</v>
      </c>
    </row>
    <row r="158" spans="1:12" x14ac:dyDescent="0.25">
      <c r="A158" s="15">
        <v>43374</v>
      </c>
      <c r="B158" s="5" t="s">
        <v>57</v>
      </c>
      <c r="C158" s="14">
        <v>327</v>
      </c>
      <c r="D158" s="14">
        <v>198.04841267269151</v>
      </c>
      <c r="E158" s="14">
        <v>203.25</v>
      </c>
      <c r="F158" s="14">
        <v>254.45386904761349</v>
      </c>
      <c r="G158" s="14">
        <v>194.31800439557449</v>
      </c>
      <c r="H158" s="14">
        <v>196.1286138312804</v>
      </c>
      <c r="I158" s="14">
        <v>249.6783430995649</v>
      </c>
      <c r="J158" s="14">
        <v>254.44131684926029</v>
      </c>
      <c r="K158" s="14">
        <v>252</v>
      </c>
      <c r="L158" s="14">
        <v>205</v>
      </c>
    </row>
    <row r="159" spans="1:12" x14ac:dyDescent="0.25">
      <c r="A159" s="15">
        <v>43405</v>
      </c>
      <c r="B159" s="5" t="s">
        <v>57</v>
      </c>
      <c r="C159" s="14">
        <v>311</v>
      </c>
      <c r="D159" s="14">
        <v>201.64864389984211</v>
      </c>
      <c r="E159" s="14">
        <v>155.74999999999989</v>
      </c>
      <c r="F159" s="14">
        <v>208.4933101172974</v>
      </c>
      <c r="G159" s="14">
        <v>295.30510023246842</v>
      </c>
      <c r="H159" s="14">
        <v>298.78372473453533</v>
      </c>
      <c r="I159" s="14">
        <v>219.1815567975531</v>
      </c>
      <c r="J159" s="14">
        <v>208.39754248370679</v>
      </c>
      <c r="K159" s="14">
        <v>196</v>
      </c>
      <c r="L159" s="14">
        <v>327</v>
      </c>
    </row>
    <row r="160" spans="1:12" x14ac:dyDescent="0.25">
      <c r="A160" s="15">
        <v>43435</v>
      </c>
      <c r="B160" s="5" t="s">
        <v>57</v>
      </c>
      <c r="C160" s="14">
        <v>402</v>
      </c>
      <c r="D160" s="14">
        <v>217.68577673778961</v>
      </c>
      <c r="E160" s="14">
        <v>224</v>
      </c>
      <c r="F160" s="14">
        <v>283.10679347826061</v>
      </c>
      <c r="G160" s="14">
        <v>319.11044204258911</v>
      </c>
      <c r="H160" s="14">
        <v>323.06158307391411</v>
      </c>
      <c r="I160" s="14">
        <v>328.53406240679942</v>
      </c>
      <c r="J160" s="14">
        <v>283.12673369909061</v>
      </c>
      <c r="K160" s="14">
        <v>209</v>
      </c>
      <c r="L160" s="14">
        <v>311</v>
      </c>
    </row>
    <row r="161" spans="1:12" x14ac:dyDescent="0.25">
      <c r="A161" s="15">
        <v>43466</v>
      </c>
      <c r="B161" s="5" t="s">
        <v>57</v>
      </c>
      <c r="C161" s="14">
        <v>392</v>
      </c>
      <c r="D161" s="14">
        <v>231.81964935107089</v>
      </c>
      <c r="E161" s="14">
        <v>186.25</v>
      </c>
      <c r="F161" s="14">
        <v>263.12281249999961</v>
      </c>
      <c r="G161" s="14">
        <v>390.27544841712211</v>
      </c>
      <c r="H161" s="14">
        <v>395.04381008441919</v>
      </c>
      <c r="I161" s="14">
        <v>348.85989868314789</v>
      </c>
      <c r="J161" s="14">
        <v>341.81972778771149</v>
      </c>
      <c r="K161" s="14">
        <v>222</v>
      </c>
      <c r="L161" s="14">
        <v>402</v>
      </c>
    </row>
    <row r="162" spans="1:12" x14ac:dyDescent="0.25">
      <c r="A162" s="15">
        <v>43497</v>
      </c>
      <c r="B162" s="5" t="s">
        <v>57</v>
      </c>
      <c r="C162" s="14">
        <v>226</v>
      </c>
      <c r="D162" s="14">
        <v>220.813140344159</v>
      </c>
      <c r="E162" s="14">
        <v>183.3603448275862</v>
      </c>
      <c r="F162" s="14">
        <v>259.64121769286129</v>
      </c>
      <c r="G162" s="14">
        <v>353.85262049403019</v>
      </c>
      <c r="H162" s="14">
        <v>358.61113781562898</v>
      </c>
      <c r="I162" s="14">
        <v>352.11166810914972</v>
      </c>
      <c r="J162" s="14">
        <v>352.06636710828627</v>
      </c>
      <c r="K162" s="14">
        <v>224.25</v>
      </c>
      <c r="L162" s="14">
        <v>392</v>
      </c>
    </row>
    <row r="163" spans="1:12" x14ac:dyDescent="0.25">
      <c r="A163" s="15">
        <v>43525</v>
      </c>
      <c r="B163" s="5" t="s">
        <v>57</v>
      </c>
      <c r="C163" s="14">
        <v>257</v>
      </c>
      <c r="D163" s="14">
        <v>247.2447133340107</v>
      </c>
      <c r="E163" s="14">
        <v>182.6</v>
      </c>
      <c r="F163" s="14">
        <v>264.98462164750902</v>
      </c>
      <c r="G163" s="14">
        <v>271.9274604982644</v>
      </c>
      <c r="H163" s="14">
        <v>275.95164949662109</v>
      </c>
      <c r="I163" s="14">
        <v>298.77736261166928</v>
      </c>
      <c r="J163" s="14">
        <v>307.35922228034241</v>
      </c>
      <c r="K163" s="14">
        <v>269</v>
      </c>
      <c r="L163" s="14">
        <v>226</v>
      </c>
    </row>
    <row r="164" spans="1:12" x14ac:dyDescent="0.25">
      <c r="A164" s="15">
        <v>43556</v>
      </c>
      <c r="B164" s="5" t="s">
        <v>57</v>
      </c>
      <c r="C164" s="14">
        <v>226</v>
      </c>
      <c r="D164" s="14">
        <v>242.20204845247389</v>
      </c>
      <c r="E164" s="14">
        <v>165.375</v>
      </c>
      <c r="F164" s="14">
        <v>244.69536619635781</v>
      </c>
      <c r="G164" s="14">
        <v>250.54768854859731</v>
      </c>
      <c r="H164" s="14">
        <v>253.25529336845511</v>
      </c>
      <c r="I164" s="14">
        <v>258.54997034075268</v>
      </c>
      <c r="J164" s="14">
        <v>273.0628051298936</v>
      </c>
      <c r="K164" s="14">
        <v>229</v>
      </c>
      <c r="L164" s="14">
        <v>257</v>
      </c>
    </row>
    <row r="165" spans="1:12" x14ac:dyDescent="0.25">
      <c r="A165" s="15">
        <v>43586</v>
      </c>
      <c r="B165" s="5" t="s">
        <v>57</v>
      </c>
      <c r="C165" s="14">
        <v>298.29166666999998</v>
      </c>
      <c r="D165" s="14">
        <v>251.6549380204668</v>
      </c>
      <c r="E165" s="14">
        <v>127.6</v>
      </c>
      <c r="F165" s="14">
        <v>208.59845114942459</v>
      </c>
      <c r="G165" s="14">
        <v>237.01097166253439</v>
      </c>
      <c r="H165" s="14">
        <v>239.29617221484</v>
      </c>
      <c r="I165" s="14">
        <v>204.99228589400499</v>
      </c>
      <c r="J165" s="14">
        <v>227.8161895457886</v>
      </c>
      <c r="K165" s="14">
        <v>167</v>
      </c>
      <c r="L165" s="14">
        <v>226</v>
      </c>
    </row>
    <row r="166" spans="1:12" x14ac:dyDescent="0.25">
      <c r="A166" s="15">
        <v>43617</v>
      </c>
      <c r="B166" s="5" t="s">
        <v>57</v>
      </c>
      <c r="C166" s="14">
        <v>142</v>
      </c>
      <c r="D166" s="14">
        <v>248.63865824302641</v>
      </c>
      <c r="E166" s="14">
        <v>128.19999999999999</v>
      </c>
      <c r="F166" s="14">
        <v>210.71892579071289</v>
      </c>
      <c r="G166" s="14">
        <v>279.95617951185739</v>
      </c>
      <c r="H166" s="14">
        <v>282.87744213053952</v>
      </c>
      <c r="I166" s="14">
        <v>235.736155357885</v>
      </c>
      <c r="J166" s="14">
        <v>239.74072719240249</v>
      </c>
      <c r="K166" s="14">
        <v>101</v>
      </c>
      <c r="L166" s="14">
        <v>298.29166666999998</v>
      </c>
    </row>
    <row r="167" spans="1:12" x14ac:dyDescent="0.25">
      <c r="A167" s="15">
        <v>43647</v>
      </c>
      <c r="B167" s="5" t="s">
        <v>57</v>
      </c>
      <c r="C167" s="14">
        <v>115</v>
      </c>
      <c r="D167" s="14">
        <v>252.7151820595173</v>
      </c>
      <c r="E167" s="14">
        <v>86.999999999999972</v>
      </c>
      <c r="F167" s="14">
        <v>169.04184952993089</v>
      </c>
      <c r="G167" s="14">
        <v>173.1490445895698</v>
      </c>
      <c r="H167" s="14">
        <v>174.37283742422579</v>
      </c>
      <c r="I167" s="14">
        <v>163.47008710446849</v>
      </c>
      <c r="J167" s="14">
        <v>169.04185131948219</v>
      </c>
      <c r="K167" s="14">
        <v>90</v>
      </c>
      <c r="L167" s="14">
        <v>142</v>
      </c>
    </row>
    <row r="168" spans="1:12" x14ac:dyDescent="0.25">
      <c r="A168" s="15">
        <v>43678</v>
      </c>
      <c r="B168" s="5" t="s">
        <v>57</v>
      </c>
      <c r="C168" s="14">
        <v>145</v>
      </c>
      <c r="D168" s="14">
        <v>246.8108133205117</v>
      </c>
      <c r="E168" s="14">
        <v>86.399999999999991</v>
      </c>
      <c r="F168" s="14">
        <v>166.09220389819501</v>
      </c>
      <c r="G168" s="14">
        <v>123.12475524461109</v>
      </c>
      <c r="H168" s="14">
        <v>123.22910123200749</v>
      </c>
      <c r="I168" s="14">
        <v>142.87804148951841</v>
      </c>
      <c r="J168" s="14">
        <v>166.09297535555609</v>
      </c>
      <c r="K168" s="14">
        <v>159</v>
      </c>
      <c r="L168" s="14">
        <v>115</v>
      </c>
    </row>
    <row r="169" spans="1:12" x14ac:dyDescent="0.25">
      <c r="A169" s="15">
        <v>43709</v>
      </c>
      <c r="B169" s="5" t="s">
        <v>57</v>
      </c>
      <c r="C169" s="14">
        <v>121.416666667</v>
      </c>
      <c r="D169" s="14">
        <v>235.1206566253525</v>
      </c>
      <c r="E169" s="14">
        <v>134.19999999999999</v>
      </c>
      <c r="F169" s="14">
        <v>210.47099555074479</v>
      </c>
      <c r="G169" s="14">
        <v>137.02762884857529</v>
      </c>
      <c r="H169" s="14">
        <v>137.44287327526749</v>
      </c>
      <c r="I169" s="14">
        <v>187.35683690648801</v>
      </c>
      <c r="J169" s="14">
        <v>210.47976887981761</v>
      </c>
      <c r="K169" s="14">
        <v>205</v>
      </c>
      <c r="L169" s="14">
        <v>145</v>
      </c>
    </row>
    <row r="170" spans="1:12" x14ac:dyDescent="0.25">
      <c r="A170" s="15">
        <v>43009</v>
      </c>
      <c r="B170" s="5" t="s">
        <v>61</v>
      </c>
      <c r="C170" s="14">
        <v>52</v>
      </c>
      <c r="D170" s="14">
        <v>96.322247715247684</v>
      </c>
      <c r="E170" s="14">
        <v>59.900000000000013</v>
      </c>
      <c r="F170" s="14">
        <v>70.823529411764696</v>
      </c>
      <c r="G170" s="14">
        <v>69.129999865442514</v>
      </c>
      <c r="H170" s="14">
        <v>69.514777287831208</v>
      </c>
      <c r="I170" s="14">
        <v>58.491570650847663</v>
      </c>
      <c r="J170" s="14">
        <v>54.725941451045998</v>
      </c>
      <c r="K170" s="14">
        <v>60.9</v>
      </c>
      <c r="L170" s="14">
        <v>66.900000000000006</v>
      </c>
    </row>
    <row r="171" spans="1:12" x14ac:dyDescent="0.25">
      <c r="A171" s="15">
        <v>43040</v>
      </c>
      <c r="B171" s="5" t="s">
        <v>61</v>
      </c>
      <c r="C171" s="14">
        <v>46.6</v>
      </c>
      <c r="D171" s="14">
        <v>90.002484472049701</v>
      </c>
      <c r="E171" s="14">
        <v>46.800000000000011</v>
      </c>
      <c r="F171" s="14">
        <v>56.359139784956248</v>
      </c>
      <c r="G171" s="14">
        <v>50.322580892184092</v>
      </c>
      <c r="H171" s="14">
        <v>50.318280379862372</v>
      </c>
      <c r="I171" s="14">
        <v>43.820676024754647</v>
      </c>
      <c r="J171" s="14">
        <v>39.620198875685603</v>
      </c>
      <c r="K171" s="14">
        <v>51.2</v>
      </c>
      <c r="L171" s="14">
        <v>52</v>
      </c>
    </row>
    <row r="172" spans="1:12" x14ac:dyDescent="0.25">
      <c r="A172" s="15">
        <v>43070</v>
      </c>
      <c r="B172" s="5" t="s">
        <v>61</v>
      </c>
      <c r="C172" s="14">
        <v>49.1</v>
      </c>
      <c r="D172" s="14">
        <v>89.597035813400311</v>
      </c>
      <c r="E172" s="14">
        <v>39.010000000000012</v>
      </c>
      <c r="F172" s="14">
        <v>48.357017543859627</v>
      </c>
      <c r="G172" s="14">
        <v>48.153333390653152</v>
      </c>
      <c r="H172" s="14">
        <v>48.065371286519749</v>
      </c>
      <c r="I172" s="14">
        <v>36.250282110414688</v>
      </c>
      <c r="J172" s="14">
        <v>31.249306778499658</v>
      </c>
      <c r="K172" s="14">
        <v>38.9</v>
      </c>
      <c r="L172" s="14">
        <v>46.6</v>
      </c>
    </row>
    <row r="173" spans="1:12" x14ac:dyDescent="0.25">
      <c r="A173" s="15">
        <v>43101</v>
      </c>
      <c r="B173" s="5" t="s">
        <v>61</v>
      </c>
      <c r="C173" s="14">
        <v>54</v>
      </c>
      <c r="D173" s="14">
        <v>86.51442755825731</v>
      </c>
      <c r="E173" s="14">
        <v>49.774999999999991</v>
      </c>
      <c r="F173" s="14">
        <v>61.505208333333542</v>
      </c>
      <c r="G173" s="14">
        <v>49.099999985893582</v>
      </c>
      <c r="H173" s="14">
        <v>49.034051253351059</v>
      </c>
      <c r="I173" s="14">
        <v>52.596431990155331</v>
      </c>
      <c r="J173" s="14">
        <v>55.12157641571752</v>
      </c>
      <c r="K173" s="14">
        <v>42.1</v>
      </c>
      <c r="L173" s="14">
        <v>49.1</v>
      </c>
    </row>
    <row r="174" spans="1:12" x14ac:dyDescent="0.25">
      <c r="A174" s="15">
        <v>43132</v>
      </c>
      <c r="B174" s="5" t="s">
        <v>61</v>
      </c>
      <c r="C174" s="14">
        <v>39.06</v>
      </c>
      <c r="D174" s="14">
        <v>75.915247970155761</v>
      </c>
      <c r="E174" s="14">
        <v>43.45</v>
      </c>
      <c r="F174" s="14">
        <v>53.523573200992622</v>
      </c>
      <c r="G174" s="14">
        <v>48.77419348243744</v>
      </c>
      <c r="H174" s="14">
        <v>48.80806400674436</v>
      </c>
      <c r="I174" s="14">
        <v>46.009436749302509</v>
      </c>
      <c r="J174" s="14">
        <v>48.058779976784876</v>
      </c>
      <c r="K174" s="14">
        <v>34.6</v>
      </c>
      <c r="L174" s="14">
        <v>54</v>
      </c>
    </row>
    <row r="175" spans="1:12" x14ac:dyDescent="0.25">
      <c r="A175" s="15">
        <v>43160</v>
      </c>
      <c r="B175" s="5" t="s">
        <v>61</v>
      </c>
      <c r="C175" s="14">
        <v>85.5</v>
      </c>
      <c r="D175" s="14">
        <v>80.893911370262401</v>
      </c>
      <c r="E175" s="14">
        <v>84.334999999999994</v>
      </c>
      <c r="F175" s="14">
        <v>94.344081632653115</v>
      </c>
      <c r="G175" s="14">
        <v>43.245000160261988</v>
      </c>
      <c r="H175" s="14">
        <v>43.062245144065102</v>
      </c>
      <c r="I175" s="14">
        <v>85.376547292947791</v>
      </c>
      <c r="J175" s="14">
        <v>87.322666643162037</v>
      </c>
      <c r="K175" s="14">
        <v>100.1</v>
      </c>
      <c r="L175" s="14">
        <v>39.06</v>
      </c>
    </row>
    <row r="176" spans="1:12" x14ac:dyDescent="0.25">
      <c r="A176" s="15">
        <v>43191</v>
      </c>
      <c r="B176" s="5" t="s">
        <v>61</v>
      </c>
      <c r="C176" s="14">
        <v>201.1</v>
      </c>
      <c r="D176" s="14">
        <v>78.646812144212447</v>
      </c>
      <c r="E176" s="14">
        <v>122.97499999999999</v>
      </c>
      <c r="F176" s="14">
        <v>132.0906221198162</v>
      </c>
      <c r="G176" s="14">
        <v>82.741934874533655</v>
      </c>
      <c r="H176" s="14">
        <v>83.386449829678696</v>
      </c>
      <c r="I176" s="14">
        <v>123.77131055685579</v>
      </c>
      <c r="J176" s="14">
        <v>125.48967436075451</v>
      </c>
      <c r="K176" s="14">
        <v>127.4</v>
      </c>
      <c r="L176" s="14">
        <v>85.5</v>
      </c>
    </row>
    <row r="177" spans="1:12" x14ac:dyDescent="0.25">
      <c r="A177" s="15">
        <v>43221</v>
      </c>
      <c r="B177" s="5" t="s">
        <v>61</v>
      </c>
      <c r="C177" s="14">
        <v>213.04</v>
      </c>
      <c r="D177" s="14">
        <v>91.025451411333776</v>
      </c>
      <c r="E177" s="14">
        <v>147.7775</v>
      </c>
      <c r="F177" s="14">
        <v>161.65383184524049</v>
      </c>
      <c r="G177" s="14">
        <v>207.80333151087169</v>
      </c>
      <c r="H177" s="14">
        <v>210.8543723326523</v>
      </c>
      <c r="I177" s="14">
        <v>162.67724121015081</v>
      </c>
      <c r="J177" s="14">
        <v>161.65736559809761</v>
      </c>
      <c r="K177" s="14">
        <v>161.81</v>
      </c>
      <c r="L177" s="14">
        <v>201.1</v>
      </c>
    </row>
    <row r="178" spans="1:12" x14ac:dyDescent="0.25">
      <c r="A178" s="15">
        <v>43252</v>
      </c>
      <c r="B178" s="5" t="s">
        <v>61</v>
      </c>
      <c r="C178" s="14">
        <v>120.8</v>
      </c>
      <c r="D178" s="14">
        <v>97.29018597045075</v>
      </c>
      <c r="E178" s="14">
        <v>130.44999999999999</v>
      </c>
      <c r="F178" s="14">
        <v>146.80391705069539</v>
      </c>
      <c r="G178" s="14">
        <v>206.1677418599686</v>
      </c>
      <c r="H178" s="14">
        <v>209.16104508838231</v>
      </c>
      <c r="I178" s="14">
        <v>172.38943593097571</v>
      </c>
      <c r="J178" s="14">
        <v>168.78761686111909</v>
      </c>
      <c r="K178" s="14">
        <v>151.9</v>
      </c>
      <c r="L178" s="14">
        <v>213.04</v>
      </c>
    </row>
    <row r="179" spans="1:12" x14ac:dyDescent="0.25">
      <c r="A179" s="15">
        <v>43282</v>
      </c>
      <c r="B179" s="5" t="s">
        <v>61</v>
      </c>
      <c r="C179" s="14">
        <v>122.2</v>
      </c>
      <c r="D179" s="14">
        <v>102.8876000798642</v>
      </c>
      <c r="E179" s="14">
        <v>99.332500000000024</v>
      </c>
      <c r="F179" s="14">
        <v>114.7387301587347</v>
      </c>
      <c r="G179" s="14">
        <v>124.82666798114781</v>
      </c>
      <c r="H179" s="14">
        <v>126.19698255546621</v>
      </c>
      <c r="I179" s="14">
        <v>116.1005894284577</v>
      </c>
      <c r="J179" s="14">
        <v>114.738457354581</v>
      </c>
      <c r="K179" s="14">
        <v>81.099999999999994</v>
      </c>
      <c r="L179" s="14">
        <v>120.8</v>
      </c>
    </row>
    <row r="180" spans="1:12" x14ac:dyDescent="0.25">
      <c r="A180" s="15">
        <v>43313</v>
      </c>
      <c r="B180" s="5" t="s">
        <v>61</v>
      </c>
      <c r="C180" s="14">
        <v>103.1</v>
      </c>
      <c r="D180" s="14">
        <v>104.8961072631073</v>
      </c>
      <c r="E180" s="14">
        <v>74.975000000000009</v>
      </c>
      <c r="F180" s="14">
        <v>90.773928571432833</v>
      </c>
      <c r="G180" s="14">
        <v>122.20000003914041</v>
      </c>
      <c r="H180" s="14">
        <v>123.4962961040298</v>
      </c>
      <c r="I180" s="14">
        <v>92.581767894723356</v>
      </c>
      <c r="J180" s="14">
        <v>90.774187775032431</v>
      </c>
      <c r="K180" s="14">
        <v>60.1</v>
      </c>
      <c r="L180" s="14">
        <v>122.2</v>
      </c>
    </row>
    <row r="181" spans="1:12" x14ac:dyDescent="0.25">
      <c r="A181" s="15">
        <v>43344</v>
      </c>
      <c r="B181" s="5" t="s">
        <v>61</v>
      </c>
      <c r="C181" s="14">
        <v>88.1</v>
      </c>
      <c r="D181" s="14">
        <v>102.00910108324859</v>
      </c>
      <c r="E181" s="14">
        <v>66.5</v>
      </c>
      <c r="F181" s="14">
        <v>82.385708525349216</v>
      </c>
      <c r="G181" s="14">
        <v>99.774193823818237</v>
      </c>
      <c r="H181" s="14">
        <v>100.6697947428098</v>
      </c>
      <c r="I181" s="14">
        <v>85.294309269568885</v>
      </c>
      <c r="J181" s="14">
        <v>82.383649653816136</v>
      </c>
      <c r="K181" s="14">
        <v>66.900000000000006</v>
      </c>
      <c r="L181" s="14">
        <v>103.1</v>
      </c>
    </row>
    <row r="182" spans="1:12" x14ac:dyDescent="0.25">
      <c r="A182" s="15">
        <v>43374</v>
      </c>
      <c r="B182" s="5" t="s">
        <v>61</v>
      </c>
      <c r="C182" s="14">
        <v>76.900000000000006</v>
      </c>
      <c r="D182" s="14">
        <v>105.03900569877069</v>
      </c>
      <c r="E182" s="14">
        <v>57.924999999999997</v>
      </c>
      <c r="F182" s="14">
        <v>74.621411564628843</v>
      </c>
      <c r="G182" s="14">
        <v>91.036666846424339</v>
      </c>
      <c r="H182" s="14">
        <v>91.730178708509868</v>
      </c>
      <c r="I182" s="14">
        <v>77.334847385887485</v>
      </c>
      <c r="J182" s="14">
        <v>74.621052796008996</v>
      </c>
      <c r="K182" s="14">
        <v>52</v>
      </c>
      <c r="L182" s="14">
        <v>88.1</v>
      </c>
    </row>
    <row r="183" spans="1:12" x14ac:dyDescent="0.25">
      <c r="A183" s="15">
        <v>43405</v>
      </c>
      <c r="B183" s="5" t="s">
        <v>61</v>
      </c>
      <c r="C183" s="14">
        <v>48.4</v>
      </c>
      <c r="D183" s="14">
        <v>100.3650137579767</v>
      </c>
      <c r="E183" s="14">
        <v>46.750000000000007</v>
      </c>
      <c r="F183" s="14">
        <v>63.008048806034871</v>
      </c>
      <c r="G183" s="14">
        <v>74.41935504256719</v>
      </c>
      <c r="H183" s="14">
        <v>74.838709865802628</v>
      </c>
      <c r="I183" s="14">
        <v>64.764981738006057</v>
      </c>
      <c r="J183" s="14">
        <v>63.009398068816651</v>
      </c>
      <c r="K183" s="14">
        <v>46.6</v>
      </c>
      <c r="L183" s="14">
        <v>76.900000000000006</v>
      </c>
    </row>
    <row r="184" spans="1:12" x14ac:dyDescent="0.25">
      <c r="A184" s="15">
        <v>43435</v>
      </c>
      <c r="B184" s="5" t="s">
        <v>61</v>
      </c>
      <c r="C184" s="14">
        <v>60.1</v>
      </c>
      <c r="D184" s="14">
        <v>100.6328191533773</v>
      </c>
      <c r="E184" s="14">
        <v>41.532499999999999</v>
      </c>
      <c r="F184" s="14">
        <v>57.676180124223443</v>
      </c>
      <c r="G184" s="14">
        <v>50.013333733975891</v>
      </c>
      <c r="H184" s="14">
        <v>49.975632378203187</v>
      </c>
      <c r="I184" s="14">
        <v>56.000532458787823</v>
      </c>
      <c r="J184" s="14">
        <v>57.633724943222298</v>
      </c>
      <c r="K184" s="14">
        <v>49.1</v>
      </c>
      <c r="L184" s="14">
        <v>48.4</v>
      </c>
    </row>
    <row r="185" spans="1:12" x14ac:dyDescent="0.25">
      <c r="A185" s="15">
        <v>43466</v>
      </c>
      <c r="B185" s="5" t="s">
        <v>61</v>
      </c>
      <c r="C185" s="14">
        <v>43.3</v>
      </c>
      <c r="D185" s="14">
        <v>98.402410815173454</v>
      </c>
      <c r="E185" s="14">
        <v>50.62</v>
      </c>
      <c r="F185" s="14">
        <v>70.113607142857234</v>
      </c>
      <c r="G185" s="14">
        <v>60.099999849696957</v>
      </c>
      <c r="H185" s="14">
        <v>60.233897591752147</v>
      </c>
      <c r="I185" s="14">
        <v>68.505017192930893</v>
      </c>
      <c r="J185" s="14">
        <v>70.114925296156144</v>
      </c>
      <c r="K185" s="14">
        <v>54</v>
      </c>
      <c r="L185" s="14">
        <v>60.1</v>
      </c>
    </row>
    <row r="186" spans="1:12" x14ac:dyDescent="0.25">
      <c r="A186" s="15">
        <v>43497</v>
      </c>
      <c r="B186" s="5" t="s">
        <v>61</v>
      </c>
      <c r="C186" s="14">
        <v>69.5</v>
      </c>
      <c r="D186" s="14">
        <v>85.982102238674429</v>
      </c>
      <c r="E186" s="14">
        <v>42.572000000000003</v>
      </c>
      <c r="F186" s="14">
        <v>58.754497153700022</v>
      </c>
      <c r="G186" s="14">
        <v>39.10967764546794</v>
      </c>
      <c r="H186" s="14">
        <v>38.97569842391178</v>
      </c>
      <c r="I186" s="14">
        <v>53.841493393785093</v>
      </c>
      <c r="J186" s="14">
        <v>58.752381110239313</v>
      </c>
      <c r="K186" s="14">
        <v>39.06</v>
      </c>
      <c r="L186" s="14">
        <v>43.3</v>
      </c>
    </row>
    <row r="187" spans="1:12" x14ac:dyDescent="0.25">
      <c r="A187" s="15">
        <v>43525</v>
      </c>
      <c r="B187" s="5" t="s">
        <v>61</v>
      </c>
      <c r="C187" s="14">
        <v>169.5</v>
      </c>
      <c r="D187" s="14">
        <v>94.335091788169578</v>
      </c>
      <c r="E187" s="14">
        <v>84.568000000000012</v>
      </c>
      <c r="F187" s="14">
        <v>103.1452698412696</v>
      </c>
      <c r="G187" s="14">
        <v>76.946428070057721</v>
      </c>
      <c r="H187" s="14">
        <v>77.352106787914209</v>
      </c>
      <c r="I187" s="14">
        <v>99.872836085003584</v>
      </c>
      <c r="J187" s="14">
        <v>103.1453503911065</v>
      </c>
      <c r="K187" s="14">
        <v>85.5</v>
      </c>
      <c r="L187" s="14">
        <v>69.5</v>
      </c>
    </row>
    <row r="188" spans="1:12" x14ac:dyDescent="0.25">
      <c r="A188" s="15">
        <v>43556</v>
      </c>
      <c r="B188" s="5" t="s">
        <v>61</v>
      </c>
      <c r="C188" s="14">
        <v>190.6</v>
      </c>
      <c r="D188" s="14">
        <v>96.190984447889448</v>
      </c>
      <c r="E188" s="14">
        <v>138.6</v>
      </c>
      <c r="F188" s="14">
        <v>159.95770070337159</v>
      </c>
      <c r="G188" s="14">
        <v>164.03225672984939</v>
      </c>
      <c r="H188" s="14">
        <v>165.86314540694309</v>
      </c>
      <c r="I188" s="14">
        <v>165.74032839287881</v>
      </c>
      <c r="J188" s="14">
        <v>159.95663358471839</v>
      </c>
      <c r="K188" s="14">
        <v>201.1</v>
      </c>
      <c r="L188" s="14">
        <v>169.5</v>
      </c>
    </row>
    <row r="189" spans="1:12" x14ac:dyDescent="0.25">
      <c r="A189" s="15">
        <v>43586</v>
      </c>
      <c r="B189" s="5" t="s">
        <v>61</v>
      </c>
      <c r="C189" s="14">
        <v>135.4</v>
      </c>
      <c r="D189" s="14">
        <v>105.8963357426304</v>
      </c>
      <c r="E189" s="14">
        <v>160.83000000000001</v>
      </c>
      <c r="F189" s="14">
        <v>184.48280952381009</v>
      </c>
      <c r="G189" s="14">
        <v>196.95333292424681</v>
      </c>
      <c r="H189" s="14">
        <v>199.25100473241579</v>
      </c>
      <c r="I189" s="14">
        <v>195.58834776492679</v>
      </c>
      <c r="J189" s="14">
        <v>184.5228882666529</v>
      </c>
      <c r="K189" s="14">
        <v>213.04</v>
      </c>
      <c r="L189" s="14">
        <v>190.6</v>
      </c>
    </row>
    <row r="190" spans="1:12" x14ac:dyDescent="0.25">
      <c r="A190" s="15">
        <v>43617</v>
      </c>
      <c r="B190" s="5" t="s">
        <v>61</v>
      </c>
      <c r="C190" s="14">
        <v>156.04</v>
      </c>
      <c r="D190" s="14">
        <v>104.76231079404469</v>
      </c>
      <c r="E190" s="14">
        <v>128.52000000000001</v>
      </c>
      <c r="F190" s="14">
        <v>149.14793504498681</v>
      </c>
      <c r="G190" s="14">
        <v>131.03225895214459</v>
      </c>
      <c r="H190" s="14">
        <v>132.29032320719159</v>
      </c>
      <c r="I190" s="14">
        <v>147.7699898157862</v>
      </c>
      <c r="J190" s="14">
        <v>149.14794168122651</v>
      </c>
      <c r="K190" s="14">
        <v>120.8</v>
      </c>
      <c r="L190" s="14">
        <v>135.4</v>
      </c>
    </row>
    <row r="191" spans="1:12" x14ac:dyDescent="0.25">
      <c r="A191" s="15">
        <v>43647</v>
      </c>
      <c r="B191" s="5" t="s">
        <v>61</v>
      </c>
      <c r="C191" s="14">
        <v>105.2</v>
      </c>
      <c r="D191" s="14">
        <v>112.0494236874237</v>
      </c>
      <c r="E191" s="14">
        <v>103.90600000000001</v>
      </c>
      <c r="F191" s="14">
        <v>125.54525108225241</v>
      </c>
      <c r="G191" s="14">
        <v>161.24133294826751</v>
      </c>
      <c r="H191" s="14">
        <v>162.91889846753111</v>
      </c>
      <c r="I191" s="14">
        <v>124.5575297693086</v>
      </c>
      <c r="J191" s="14">
        <v>125.5520192218117</v>
      </c>
      <c r="K191" s="14">
        <v>122.2</v>
      </c>
      <c r="L191" s="14">
        <v>156.04</v>
      </c>
    </row>
    <row r="192" spans="1:12" x14ac:dyDescent="0.25">
      <c r="A192" s="15">
        <v>43678</v>
      </c>
      <c r="B192" s="5" t="s">
        <v>61</v>
      </c>
      <c r="C192" s="14">
        <v>97.3</v>
      </c>
      <c r="D192" s="14">
        <v>112.2961041545519</v>
      </c>
      <c r="E192" s="14">
        <v>80.59999999999998</v>
      </c>
      <c r="F192" s="14">
        <v>101.3546749482413</v>
      </c>
      <c r="G192" s="14">
        <v>105.2000008350809</v>
      </c>
      <c r="H192" s="14">
        <v>106.00303132782111</v>
      </c>
      <c r="I192" s="14">
        <v>97.622135051643269</v>
      </c>
      <c r="J192" s="14">
        <v>101.3546574835331</v>
      </c>
      <c r="K192" s="14">
        <v>103.1</v>
      </c>
      <c r="L192" s="14">
        <v>105.2</v>
      </c>
    </row>
    <row r="193" spans="1:12" x14ac:dyDescent="0.25">
      <c r="A193" s="15">
        <v>43709</v>
      </c>
      <c r="B193" s="5" t="s">
        <v>61</v>
      </c>
      <c r="C193" s="14">
        <v>109.1</v>
      </c>
      <c r="D193" s="14">
        <v>108.4457045350639</v>
      </c>
      <c r="E193" s="14">
        <v>70.820000000000007</v>
      </c>
      <c r="F193" s="14">
        <v>90.741674347159332</v>
      </c>
      <c r="G193" s="14">
        <v>94.161290436502441</v>
      </c>
      <c r="H193" s="14">
        <v>94.812710456685949</v>
      </c>
      <c r="I193" s="14">
        <v>86.694038037620786</v>
      </c>
      <c r="J193" s="14">
        <v>90.741686182948996</v>
      </c>
      <c r="K193" s="14">
        <v>88.1</v>
      </c>
      <c r="L193" s="14">
        <v>97.3</v>
      </c>
    </row>
  </sheetData>
  <pageMargins left="0.7" right="0.7" top="0.75" bottom="0.75" header="0.3" footer="0.3"/>
  <headerFooter>
    <oddFooter>&amp;L_x000D_&amp;1#&amp;"Aptos"&amp;10&amp;K008000 Interne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107"/>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9.140625" defaultRowHeight="15" x14ac:dyDescent="0.25"/>
  <cols>
    <col min="1" max="1" width="13.7109375" customWidth="1"/>
    <col min="2" max="9" width="11.7109375" customWidth="1"/>
  </cols>
  <sheetData>
    <row r="1" spans="1:9" x14ac:dyDescent="0.25">
      <c r="A1" s="4" t="s">
        <v>92</v>
      </c>
      <c r="B1" s="4" t="s">
        <v>25</v>
      </c>
      <c r="C1" s="4" t="s">
        <v>32</v>
      </c>
      <c r="D1" s="4" t="s">
        <v>37</v>
      </c>
      <c r="E1" s="4" t="s">
        <v>44</v>
      </c>
      <c r="F1" s="4" t="s">
        <v>47</v>
      </c>
      <c r="G1" s="4" t="s">
        <v>51</v>
      </c>
      <c r="H1" s="4" t="s">
        <v>57</v>
      </c>
      <c r="I1" s="4" t="s">
        <v>61</v>
      </c>
    </row>
    <row r="2" spans="1:9" x14ac:dyDescent="0.25">
      <c r="A2" s="18">
        <v>41641</v>
      </c>
      <c r="B2">
        <v>0</v>
      </c>
      <c r="C2">
        <v>3.67</v>
      </c>
      <c r="D2">
        <v>3.4</v>
      </c>
      <c r="E2">
        <v>32.4</v>
      </c>
      <c r="F2">
        <v>7</v>
      </c>
      <c r="G2">
        <v>0</v>
      </c>
      <c r="H2">
        <v>0</v>
      </c>
      <c r="I2">
        <v>2</v>
      </c>
    </row>
    <row r="3" spans="1:9" x14ac:dyDescent="0.25">
      <c r="A3" s="18">
        <v>41642</v>
      </c>
      <c r="B3">
        <v>8</v>
      </c>
      <c r="C3">
        <v>4</v>
      </c>
      <c r="D3">
        <v>4.4000000000000004</v>
      </c>
      <c r="E3">
        <v>50.6</v>
      </c>
      <c r="F3">
        <v>16</v>
      </c>
      <c r="G3">
        <v>0</v>
      </c>
      <c r="H3">
        <v>20</v>
      </c>
      <c r="I3">
        <v>4</v>
      </c>
    </row>
    <row r="4" spans="1:9" x14ac:dyDescent="0.25">
      <c r="A4" s="18">
        <v>41643</v>
      </c>
      <c r="B4">
        <v>2</v>
      </c>
      <c r="C4">
        <v>1</v>
      </c>
      <c r="D4">
        <v>6.5</v>
      </c>
      <c r="E4">
        <v>61.85</v>
      </c>
      <c r="F4">
        <v>10</v>
      </c>
      <c r="G4">
        <v>0</v>
      </c>
      <c r="H4">
        <v>9</v>
      </c>
      <c r="I4">
        <v>1</v>
      </c>
    </row>
    <row r="5" spans="1:9" x14ac:dyDescent="0.25">
      <c r="A5" s="18">
        <v>41644</v>
      </c>
      <c r="B5">
        <v>4</v>
      </c>
      <c r="C5">
        <v>3</v>
      </c>
      <c r="D5">
        <v>7</v>
      </c>
      <c r="E5">
        <v>41.1</v>
      </c>
      <c r="F5">
        <v>8</v>
      </c>
      <c r="G5">
        <v>0</v>
      </c>
      <c r="H5">
        <v>3</v>
      </c>
      <c r="I5">
        <v>0</v>
      </c>
    </row>
    <row r="6" spans="1:9" x14ac:dyDescent="0.25">
      <c r="A6" s="18">
        <v>41645</v>
      </c>
      <c r="B6">
        <v>5</v>
      </c>
      <c r="C6">
        <v>1</v>
      </c>
      <c r="D6">
        <v>4.5</v>
      </c>
      <c r="E6">
        <v>21.7</v>
      </c>
      <c r="F6">
        <v>16</v>
      </c>
      <c r="G6">
        <v>2</v>
      </c>
      <c r="H6">
        <v>6</v>
      </c>
      <c r="I6">
        <v>2</v>
      </c>
    </row>
    <row r="7" spans="1:9" x14ac:dyDescent="0.25">
      <c r="A7" s="18">
        <v>41646</v>
      </c>
      <c r="B7">
        <v>4.33</v>
      </c>
      <c r="C7">
        <v>0.66</v>
      </c>
      <c r="D7">
        <v>2.5</v>
      </c>
      <c r="E7">
        <v>37</v>
      </c>
      <c r="F7">
        <v>6</v>
      </c>
      <c r="G7">
        <v>0</v>
      </c>
      <c r="H7">
        <v>3</v>
      </c>
      <c r="I7">
        <v>4</v>
      </c>
    </row>
    <row r="8" spans="1:9" x14ac:dyDescent="0.25">
      <c r="A8" s="18">
        <v>41647</v>
      </c>
      <c r="B8">
        <v>5.33</v>
      </c>
      <c r="C8">
        <v>3</v>
      </c>
      <c r="D8">
        <v>10.5</v>
      </c>
      <c r="E8">
        <v>26.4</v>
      </c>
      <c r="F8">
        <v>19</v>
      </c>
      <c r="G8">
        <v>1</v>
      </c>
      <c r="H8">
        <v>10</v>
      </c>
      <c r="I8">
        <v>0</v>
      </c>
    </row>
    <row r="9" spans="1:9" x14ac:dyDescent="0.25">
      <c r="A9" s="18">
        <v>41648</v>
      </c>
      <c r="B9">
        <v>7</v>
      </c>
      <c r="C9">
        <v>1.68</v>
      </c>
      <c r="D9">
        <v>8</v>
      </c>
      <c r="E9">
        <v>25</v>
      </c>
      <c r="F9">
        <v>16</v>
      </c>
      <c r="G9">
        <v>0</v>
      </c>
      <c r="H9">
        <v>3</v>
      </c>
      <c r="I9">
        <v>2</v>
      </c>
    </row>
    <row r="10" spans="1:9" x14ac:dyDescent="0.25">
      <c r="A10" s="18">
        <v>41649</v>
      </c>
      <c r="B10">
        <v>5</v>
      </c>
      <c r="C10">
        <v>2</v>
      </c>
      <c r="D10">
        <v>2</v>
      </c>
      <c r="E10">
        <v>53.3</v>
      </c>
      <c r="F10">
        <v>15</v>
      </c>
      <c r="G10">
        <v>2</v>
      </c>
      <c r="H10">
        <v>0</v>
      </c>
      <c r="I10">
        <v>2</v>
      </c>
    </row>
    <row r="11" spans="1:9" x14ac:dyDescent="0.25">
      <c r="A11" s="18">
        <v>41650</v>
      </c>
      <c r="B11">
        <v>5</v>
      </c>
      <c r="C11">
        <v>4.34</v>
      </c>
      <c r="D11">
        <v>10.4</v>
      </c>
      <c r="E11">
        <v>52.3</v>
      </c>
      <c r="F11">
        <v>14</v>
      </c>
      <c r="G11">
        <v>0</v>
      </c>
      <c r="H11">
        <v>1</v>
      </c>
      <c r="I11">
        <v>0.2</v>
      </c>
    </row>
    <row r="12" spans="1:9" x14ac:dyDescent="0.25">
      <c r="A12" s="18">
        <v>41651</v>
      </c>
      <c r="B12">
        <v>2</v>
      </c>
      <c r="C12">
        <v>0.66</v>
      </c>
      <c r="D12">
        <v>2.5</v>
      </c>
      <c r="E12">
        <v>12</v>
      </c>
      <c r="F12">
        <v>8</v>
      </c>
      <c r="G12">
        <v>0</v>
      </c>
      <c r="H12">
        <v>1</v>
      </c>
      <c r="I12">
        <v>1</v>
      </c>
    </row>
    <row r="13" spans="1:9" x14ac:dyDescent="0.25">
      <c r="A13" s="18">
        <v>41652</v>
      </c>
      <c r="B13">
        <v>7.34</v>
      </c>
      <c r="C13">
        <v>7.66</v>
      </c>
      <c r="D13">
        <v>6.2</v>
      </c>
      <c r="E13">
        <v>52</v>
      </c>
      <c r="F13">
        <v>9</v>
      </c>
      <c r="G13">
        <v>0</v>
      </c>
      <c r="H13">
        <v>7</v>
      </c>
      <c r="I13">
        <v>1</v>
      </c>
    </row>
    <row r="14" spans="1:9" x14ac:dyDescent="0.25">
      <c r="A14" s="18">
        <v>41653</v>
      </c>
      <c r="B14">
        <v>6</v>
      </c>
      <c r="C14">
        <v>1.33</v>
      </c>
      <c r="D14">
        <v>12.3</v>
      </c>
      <c r="E14">
        <v>33.700000000000003</v>
      </c>
      <c r="F14">
        <v>6</v>
      </c>
      <c r="G14">
        <v>1</v>
      </c>
      <c r="H14">
        <v>0</v>
      </c>
      <c r="I14">
        <v>2</v>
      </c>
    </row>
    <row r="15" spans="1:9" x14ac:dyDescent="0.25">
      <c r="A15" s="18">
        <v>41654</v>
      </c>
      <c r="B15">
        <v>4</v>
      </c>
      <c r="C15">
        <v>2.34</v>
      </c>
      <c r="D15">
        <v>5</v>
      </c>
      <c r="E15">
        <v>26.7</v>
      </c>
      <c r="F15">
        <v>12</v>
      </c>
      <c r="G15">
        <v>2</v>
      </c>
      <c r="H15">
        <v>3</v>
      </c>
      <c r="I15">
        <v>3</v>
      </c>
    </row>
    <row r="16" spans="1:9" x14ac:dyDescent="0.25">
      <c r="A16" s="18">
        <v>41655</v>
      </c>
      <c r="B16">
        <v>6</v>
      </c>
      <c r="C16">
        <v>2</v>
      </c>
      <c r="D16">
        <v>4.3</v>
      </c>
      <c r="E16">
        <v>28.3</v>
      </c>
      <c r="F16">
        <v>19</v>
      </c>
      <c r="G16">
        <v>1</v>
      </c>
      <c r="H16">
        <v>5</v>
      </c>
      <c r="I16">
        <v>0</v>
      </c>
    </row>
    <row r="17" spans="1:9" x14ac:dyDescent="0.25">
      <c r="A17" s="18">
        <v>41656</v>
      </c>
      <c r="B17">
        <v>2</v>
      </c>
      <c r="C17">
        <v>3.68</v>
      </c>
      <c r="D17">
        <v>8.3000000000000007</v>
      </c>
      <c r="E17">
        <v>20.399999999999999</v>
      </c>
      <c r="F17">
        <v>15</v>
      </c>
      <c r="G17">
        <v>0</v>
      </c>
      <c r="H17">
        <v>6</v>
      </c>
      <c r="I17">
        <v>3</v>
      </c>
    </row>
    <row r="18" spans="1:9" x14ac:dyDescent="0.25">
      <c r="A18" s="18">
        <v>41657</v>
      </c>
      <c r="B18">
        <v>1</v>
      </c>
      <c r="C18">
        <v>5.33</v>
      </c>
      <c r="D18">
        <v>5.8</v>
      </c>
      <c r="E18">
        <v>43.2</v>
      </c>
      <c r="F18">
        <v>15</v>
      </c>
      <c r="G18">
        <v>4</v>
      </c>
      <c r="H18">
        <v>7</v>
      </c>
      <c r="I18">
        <v>2</v>
      </c>
    </row>
    <row r="19" spans="1:9" x14ac:dyDescent="0.25">
      <c r="A19" s="18">
        <v>41658</v>
      </c>
      <c r="B19">
        <v>4.33</v>
      </c>
      <c r="C19">
        <v>4</v>
      </c>
      <c r="D19">
        <v>4</v>
      </c>
      <c r="E19">
        <v>14.1</v>
      </c>
      <c r="F19">
        <v>4</v>
      </c>
      <c r="G19">
        <v>0</v>
      </c>
      <c r="H19">
        <v>1</v>
      </c>
      <c r="I19">
        <v>1</v>
      </c>
    </row>
    <row r="20" spans="1:9" x14ac:dyDescent="0.25">
      <c r="A20" s="18">
        <v>41659</v>
      </c>
      <c r="B20">
        <v>6</v>
      </c>
      <c r="C20">
        <v>3.34</v>
      </c>
      <c r="D20">
        <v>3.3</v>
      </c>
      <c r="E20">
        <v>11.9</v>
      </c>
      <c r="F20">
        <v>18</v>
      </c>
      <c r="G20">
        <v>2</v>
      </c>
      <c r="H20">
        <v>12</v>
      </c>
      <c r="I20">
        <v>3</v>
      </c>
    </row>
    <row r="21" spans="1:9" x14ac:dyDescent="0.25">
      <c r="A21" s="18">
        <v>41660</v>
      </c>
      <c r="B21">
        <v>2</v>
      </c>
      <c r="C21">
        <v>3.34</v>
      </c>
      <c r="D21">
        <v>4</v>
      </c>
      <c r="E21">
        <v>42</v>
      </c>
      <c r="F21">
        <v>15</v>
      </c>
      <c r="G21">
        <v>2</v>
      </c>
      <c r="H21">
        <v>0</v>
      </c>
      <c r="I21">
        <v>1</v>
      </c>
    </row>
    <row r="22" spans="1:9" x14ac:dyDescent="0.25">
      <c r="A22" s="18">
        <v>41661</v>
      </c>
      <c r="B22">
        <v>7</v>
      </c>
      <c r="C22">
        <v>3</v>
      </c>
      <c r="D22">
        <v>7</v>
      </c>
      <c r="E22">
        <v>18.100000000000001</v>
      </c>
      <c r="F22">
        <v>10</v>
      </c>
      <c r="G22">
        <v>0</v>
      </c>
      <c r="H22">
        <v>5</v>
      </c>
      <c r="I22">
        <v>2</v>
      </c>
    </row>
    <row r="23" spans="1:9" x14ac:dyDescent="0.25">
      <c r="A23" s="18">
        <v>41662</v>
      </c>
      <c r="B23">
        <v>4</v>
      </c>
      <c r="C23">
        <v>4.67</v>
      </c>
      <c r="D23">
        <v>5.2</v>
      </c>
      <c r="E23">
        <v>26.2</v>
      </c>
      <c r="F23">
        <v>2</v>
      </c>
      <c r="G23">
        <v>3</v>
      </c>
      <c r="H23">
        <v>1</v>
      </c>
      <c r="I23">
        <v>3</v>
      </c>
    </row>
    <row r="24" spans="1:9" x14ac:dyDescent="0.25">
      <c r="A24" s="18">
        <v>41663</v>
      </c>
      <c r="B24">
        <v>4.67</v>
      </c>
      <c r="C24">
        <v>7.34</v>
      </c>
      <c r="D24">
        <v>7</v>
      </c>
      <c r="E24">
        <v>19.600000000000001</v>
      </c>
      <c r="F24">
        <v>13</v>
      </c>
      <c r="G24">
        <v>1</v>
      </c>
      <c r="H24">
        <v>0</v>
      </c>
      <c r="I24">
        <v>0</v>
      </c>
    </row>
    <row r="25" spans="1:9" x14ac:dyDescent="0.25">
      <c r="A25" s="18">
        <v>41664</v>
      </c>
      <c r="B25">
        <v>6</v>
      </c>
      <c r="C25">
        <v>9</v>
      </c>
      <c r="D25">
        <v>5</v>
      </c>
      <c r="E25">
        <v>37.799999999999997</v>
      </c>
      <c r="F25">
        <v>18</v>
      </c>
      <c r="G25">
        <v>0</v>
      </c>
      <c r="H25">
        <v>5</v>
      </c>
      <c r="I25">
        <v>1</v>
      </c>
    </row>
    <row r="26" spans="1:9" x14ac:dyDescent="0.25">
      <c r="A26" s="18">
        <v>41665</v>
      </c>
      <c r="B26">
        <v>4.33</v>
      </c>
      <c r="C26">
        <v>1.68</v>
      </c>
      <c r="D26">
        <v>0</v>
      </c>
      <c r="E26">
        <v>24</v>
      </c>
      <c r="F26">
        <v>4</v>
      </c>
      <c r="G26">
        <v>0</v>
      </c>
      <c r="H26">
        <v>0</v>
      </c>
      <c r="I26">
        <v>0</v>
      </c>
    </row>
    <row r="27" spans="1:9" x14ac:dyDescent="0.25">
      <c r="A27" s="18">
        <v>41666</v>
      </c>
      <c r="B27">
        <v>4.34</v>
      </c>
      <c r="C27">
        <v>4.67</v>
      </c>
      <c r="D27">
        <v>1.2</v>
      </c>
      <c r="E27">
        <v>23.6</v>
      </c>
      <c r="F27">
        <v>17</v>
      </c>
      <c r="G27">
        <v>2</v>
      </c>
      <c r="H27">
        <v>1</v>
      </c>
      <c r="I27">
        <v>3</v>
      </c>
    </row>
    <row r="28" spans="1:9" x14ac:dyDescent="0.25">
      <c r="A28" s="18">
        <v>41667</v>
      </c>
      <c r="B28">
        <v>6</v>
      </c>
      <c r="C28">
        <v>3.34</v>
      </c>
      <c r="D28">
        <v>2.8</v>
      </c>
      <c r="E28">
        <v>13.38</v>
      </c>
      <c r="F28">
        <v>22</v>
      </c>
      <c r="G28">
        <v>5</v>
      </c>
      <c r="H28">
        <v>1</v>
      </c>
      <c r="I28">
        <v>5</v>
      </c>
    </row>
    <row r="29" spans="1:9" x14ac:dyDescent="0.25">
      <c r="A29" s="18">
        <v>41668</v>
      </c>
      <c r="B29">
        <v>5.33</v>
      </c>
      <c r="C29">
        <v>4</v>
      </c>
      <c r="D29">
        <v>2</v>
      </c>
      <c r="E29">
        <v>14</v>
      </c>
      <c r="F29">
        <v>10</v>
      </c>
      <c r="G29">
        <v>1</v>
      </c>
      <c r="H29">
        <v>1</v>
      </c>
      <c r="I29">
        <v>2</v>
      </c>
    </row>
    <row r="30" spans="1:9" x14ac:dyDescent="0.25">
      <c r="A30" s="18">
        <v>41669</v>
      </c>
      <c r="B30">
        <v>3.02</v>
      </c>
      <c r="C30">
        <v>1.34</v>
      </c>
      <c r="D30">
        <v>2.4</v>
      </c>
      <c r="E30">
        <v>25.5</v>
      </c>
      <c r="F30">
        <v>7</v>
      </c>
      <c r="G30">
        <v>1</v>
      </c>
      <c r="H30">
        <v>3</v>
      </c>
      <c r="I30">
        <v>2</v>
      </c>
    </row>
    <row r="31" spans="1:9" x14ac:dyDescent="0.25">
      <c r="A31" s="18">
        <v>41670</v>
      </c>
      <c r="B31">
        <v>1</v>
      </c>
      <c r="C31">
        <v>2.68</v>
      </c>
      <c r="D31">
        <v>7.1</v>
      </c>
      <c r="E31">
        <v>26.9</v>
      </c>
      <c r="F31">
        <v>9</v>
      </c>
      <c r="G31">
        <v>0</v>
      </c>
      <c r="H31">
        <v>1</v>
      </c>
      <c r="I31">
        <v>0</v>
      </c>
    </row>
    <row r="32" spans="1:9" x14ac:dyDescent="0.25">
      <c r="A32" s="18">
        <v>41671</v>
      </c>
      <c r="B32">
        <v>4.33</v>
      </c>
      <c r="C32">
        <v>4.32</v>
      </c>
      <c r="D32">
        <v>5</v>
      </c>
      <c r="E32">
        <v>43</v>
      </c>
      <c r="F32">
        <v>13</v>
      </c>
      <c r="G32">
        <v>1</v>
      </c>
      <c r="H32">
        <v>14</v>
      </c>
      <c r="I32">
        <v>0</v>
      </c>
    </row>
    <row r="33" spans="1:9" x14ac:dyDescent="0.25">
      <c r="A33" s="18">
        <v>41672</v>
      </c>
      <c r="B33">
        <v>7</v>
      </c>
      <c r="C33">
        <v>3</v>
      </c>
      <c r="D33">
        <v>0.2</v>
      </c>
      <c r="E33">
        <v>13.5</v>
      </c>
      <c r="F33">
        <v>6</v>
      </c>
      <c r="G33">
        <v>2</v>
      </c>
      <c r="H33">
        <v>8</v>
      </c>
      <c r="I33">
        <v>0</v>
      </c>
    </row>
    <row r="34" spans="1:9" x14ac:dyDescent="0.25">
      <c r="A34" s="18">
        <v>41673</v>
      </c>
      <c r="B34">
        <v>5</v>
      </c>
      <c r="C34">
        <v>1</v>
      </c>
      <c r="D34">
        <v>8.5</v>
      </c>
      <c r="E34">
        <v>32.4</v>
      </c>
      <c r="F34">
        <v>16</v>
      </c>
      <c r="G34">
        <v>1</v>
      </c>
      <c r="H34">
        <v>1</v>
      </c>
      <c r="I34">
        <v>0</v>
      </c>
    </row>
    <row r="35" spans="1:9" x14ac:dyDescent="0.25">
      <c r="A35" s="18">
        <v>41674</v>
      </c>
      <c r="B35">
        <v>1.33</v>
      </c>
      <c r="C35">
        <v>3</v>
      </c>
      <c r="D35">
        <v>7</v>
      </c>
      <c r="E35">
        <v>30.6</v>
      </c>
      <c r="F35">
        <v>8</v>
      </c>
      <c r="G35">
        <v>1</v>
      </c>
      <c r="H35">
        <v>17</v>
      </c>
      <c r="I35">
        <v>2</v>
      </c>
    </row>
    <row r="36" spans="1:9" x14ac:dyDescent="0.25">
      <c r="A36" s="18">
        <v>41675</v>
      </c>
      <c r="B36">
        <v>3</v>
      </c>
      <c r="C36">
        <v>4.0199999999999996</v>
      </c>
      <c r="D36">
        <v>6.2</v>
      </c>
      <c r="E36">
        <v>32.4</v>
      </c>
      <c r="F36">
        <v>15</v>
      </c>
      <c r="G36">
        <v>1</v>
      </c>
      <c r="H36">
        <v>1</v>
      </c>
      <c r="I36">
        <v>1</v>
      </c>
    </row>
    <row r="37" spans="1:9" x14ac:dyDescent="0.25">
      <c r="A37" s="18">
        <v>41676</v>
      </c>
      <c r="B37">
        <v>3.33</v>
      </c>
      <c r="C37">
        <v>6.68</v>
      </c>
      <c r="D37">
        <v>3.5</v>
      </c>
      <c r="E37">
        <v>41.4</v>
      </c>
      <c r="F37">
        <v>17</v>
      </c>
      <c r="G37">
        <v>2</v>
      </c>
      <c r="H37">
        <v>5</v>
      </c>
      <c r="I37">
        <v>2</v>
      </c>
    </row>
    <row r="38" spans="1:9" x14ac:dyDescent="0.25">
      <c r="A38" s="18">
        <v>41677</v>
      </c>
      <c r="B38">
        <v>2.66</v>
      </c>
      <c r="C38">
        <v>8.67</v>
      </c>
      <c r="D38">
        <v>11.7</v>
      </c>
      <c r="E38">
        <v>21.4</v>
      </c>
      <c r="F38">
        <v>19</v>
      </c>
      <c r="G38">
        <v>1</v>
      </c>
      <c r="H38">
        <v>0</v>
      </c>
      <c r="I38">
        <v>0</v>
      </c>
    </row>
    <row r="39" spans="1:9" x14ac:dyDescent="0.25">
      <c r="A39" s="18">
        <v>41678</v>
      </c>
      <c r="B39">
        <v>3.33</v>
      </c>
      <c r="C39">
        <v>3.35</v>
      </c>
      <c r="D39">
        <v>14.4</v>
      </c>
      <c r="E39">
        <v>37.1</v>
      </c>
      <c r="F39">
        <v>13</v>
      </c>
      <c r="G39">
        <v>1</v>
      </c>
      <c r="H39">
        <v>1</v>
      </c>
      <c r="I39">
        <v>1</v>
      </c>
    </row>
    <row r="40" spans="1:9" x14ac:dyDescent="0.25">
      <c r="A40" s="18">
        <v>41679</v>
      </c>
      <c r="B40">
        <v>4</v>
      </c>
      <c r="C40">
        <v>3</v>
      </c>
      <c r="D40">
        <v>2</v>
      </c>
      <c r="E40">
        <v>31.5</v>
      </c>
      <c r="F40">
        <v>10</v>
      </c>
      <c r="G40">
        <v>0</v>
      </c>
      <c r="H40">
        <v>6</v>
      </c>
      <c r="I40">
        <v>0</v>
      </c>
    </row>
    <row r="41" spans="1:9" x14ac:dyDescent="0.25">
      <c r="A41" s="18">
        <v>41680</v>
      </c>
      <c r="B41">
        <v>5</v>
      </c>
      <c r="C41">
        <v>10.33</v>
      </c>
      <c r="D41">
        <v>8.5</v>
      </c>
      <c r="E41">
        <v>40.1</v>
      </c>
      <c r="F41">
        <v>20</v>
      </c>
      <c r="G41">
        <v>3</v>
      </c>
      <c r="H41">
        <v>3</v>
      </c>
      <c r="I41">
        <v>1</v>
      </c>
    </row>
    <row r="42" spans="1:9" x14ac:dyDescent="0.25">
      <c r="A42" s="18">
        <v>41681</v>
      </c>
      <c r="B42">
        <v>10</v>
      </c>
      <c r="C42">
        <v>6.99</v>
      </c>
      <c r="D42">
        <v>13.3</v>
      </c>
      <c r="E42">
        <v>44.6</v>
      </c>
      <c r="F42">
        <v>20</v>
      </c>
      <c r="G42">
        <v>2</v>
      </c>
      <c r="H42">
        <v>6</v>
      </c>
      <c r="I42">
        <v>2.2000000000000002</v>
      </c>
    </row>
    <row r="43" spans="1:9" x14ac:dyDescent="0.25">
      <c r="A43" s="18">
        <v>41682</v>
      </c>
      <c r="B43">
        <v>9</v>
      </c>
      <c r="C43">
        <v>1.67</v>
      </c>
      <c r="D43">
        <v>9.1</v>
      </c>
      <c r="E43">
        <v>73.599999999999994</v>
      </c>
      <c r="F43">
        <v>9</v>
      </c>
      <c r="G43">
        <v>0</v>
      </c>
      <c r="H43">
        <v>5</v>
      </c>
      <c r="I43">
        <v>0</v>
      </c>
    </row>
    <row r="44" spans="1:9" x14ac:dyDescent="0.25">
      <c r="A44" s="18">
        <v>41683</v>
      </c>
      <c r="B44">
        <v>4.33</v>
      </c>
      <c r="C44">
        <v>3.67</v>
      </c>
      <c r="D44">
        <v>10</v>
      </c>
      <c r="E44">
        <v>49.1</v>
      </c>
      <c r="F44">
        <v>13</v>
      </c>
      <c r="G44">
        <v>3</v>
      </c>
      <c r="H44">
        <v>0</v>
      </c>
      <c r="I44">
        <v>1</v>
      </c>
    </row>
    <row r="45" spans="1:9" x14ac:dyDescent="0.25">
      <c r="A45" s="18">
        <v>41684</v>
      </c>
      <c r="B45">
        <v>4</v>
      </c>
      <c r="C45">
        <v>4.01</v>
      </c>
      <c r="D45">
        <v>3.2</v>
      </c>
      <c r="E45">
        <v>42.3</v>
      </c>
      <c r="F45">
        <v>13</v>
      </c>
      <c r="G45">
        <v>4</v>
      </c>
      <c r="H45">
        <v>0</v>
      </c>
      <c r="I45">
        <v>6</v>
      </c>
    </row>
    <row r="46" spans="1:9" x14ac:dyDescent="0.25">
      <c r="A46" s="18">
        <v>41685</v>
      </c>
      <c r="B46">
        <v>1</v>
      </c>
      <c r="C46">
        <v>2.34</v>
      </c>
      <c r="D46">
        <v>2</v>
      </c>
      <c r="E46">
        <v>37</v>
      </c>
      <c r="F46">
        <v>9</v>
      </c>
      <c r="G46">
        <v>0</v>
      </c>
      <c r="H46">
        <v>1</v>
      </c>
      <c r="I46">
        <v>5</v>
      </c>
    </row>
    <row r="47" spans="1:9" x14ac:dyDescent="0.25">
      <c r="A47" s="18">
        <v>41686</v>
      </c>
      <c r="B47">
        <v>0</v>
      </c>
      <c r="C47">
        <v>1.68</v>
      </c>
      <c r="D47">
        <v>1.2</v>
      </c>
      <c r="E47">
        <v>34</v>
      </c>
      <c r="F47">
        <v>5</v>
      </c>
      <c r="G47">
        <v>2</v>
      </c>
      <c r="H47">
        <v>3</v>
      </c>
      <c r="I47">
        <v>1</v>
      </c>
    </row>
    <row r="48" spans="1:9" x14ac:dyDescent="0.25">
      <c r="A48" s="18">
        <v>41687</v>
      </c>
      <c r="B48">
        <v>7.34</v>
      </c>
      <c r="C48">
        <v>4</v>
      </c>
      <c r="D48">
        <v>12.7</v>
      </c>
      <c r="E48">
        <v>27</v>
      </c>
      <c r="F48">
        <v>13</v>
      </c>
      <c r="G48">
        <v>1</v>
      </c>
      <c r="H48">
        <v>7</v>
      </c>
      <c r="I48">
        <v>0</v>
      </c>
    </row>
    <row r="49" spans="1:9" x14ac:dyDescent="0.25">
      <c r="A49" s="18">
        <v>41688</v>
      </c>
      <c r="B49">
        <v>7.34</v>
      </c>
      <c r="C49">
        <v>7.36</v>
      </c>
      <c r="D49">
        <v>6.1</v>
      </c>
      <c r="E49">
        <v>45</v>
      </c>
      <c r="F49">
        <v>14</v>
      </c>
      <c r="G49">
        <v>0</v>
      </c>
      <c r="H49">
        <v>13</v>
      </c>
      <c r="I49">
        <v>5</v>
      </c>
    </row>
    <row r="50" spans="1:9" x14ac:dyDescent="0.25">
      <c r="A50" s="18">
        <v>41689</v>
      </c>
      <c r="B50">
        <v>3.33</v>
      </c>
      <c r="C50">
        <v>5.0199999999999996</v>
      </c>
      <c r="D50">
        <v>5.5</v>
      </c>
      <c r="E50">
        <v>66.8</v>
      </c>
      <c r="F50">
        <v>17</v>
      </c>
      <c r="G50">
        <v>1</v>
      </c>
      <c r="H50">
        <v>6</v>
      </c>
      <c r="I50">
        <v>1</v>
      </c>
    </row>
    <row r="51" spans="1:9" x14ac:dyDescent="0.25">
      <c r="A51" s="18">
        <v>41690</v>
      </c>
      <c r="B51">
        <v>7</v>
      </c>
      <c r="C51">
        <v>7.02</v>
      </c>
      <c r="D51">
        <v>3.2</v>
      </c>
      <c r="E51">
        <v>21.5</v>
      </c>
      <c r="F51">
        <v>16</v>
      </c>
      <c r="G51">
        <v>3</v>
      </c>
      <c r="H51">
        <v>8</v>
      </c>
      <c r="I51">
        <v>1</v>
      </c>
    </row>
    <row r="52" spans="1:9" x14ac:dyDescent="0.25">
      <c r="A52" s="18">
        <v>41691</v>
      </c>
      <c r="B52">
        <v>6</v>
      </c>
      <c r="C52">
        <v>4.34</v>
      </c>
      <c r="D52">
        <v>9</v>
      </c>
      <c r="E52">
        <v>25.4</v>
      </c>
      <c r="F52">
        <v>17</v>
      </c>
      <c r="G52">
        <v>0</v>
      </c>
      <c r="H52">
        <v>0</v>
      </c>
      <c r="I52">
        <v>0</v>
      </c>
    </row>
    <row r="53" spans="1:9" x14ac:dyDescent="0.25">
      <c r="A53" s="18">
        <v>41692</v>
      </c>
      <c r="B53">
        <v>7</v>
      </c>
      <c r="C53">
        <v>3.17</v>
      </c>
      <c r="D53">
        <v>5.7</v>
      </c>
      <c r="E53">
        <v>26</v>
      </c>
      <c r="F53">
        <v>12</v>
      </c>
      <c r="G53">
        <v>0</v>
      </c>
      <c r="H53">
        <v>1</v>
      </c>
      <c r="I53">
        <v>0</v>
      </c>
    </row>
    <row r="54" spans="1:9" x14ac:dyDescent="0.25">
      <c r="A54" s="18">
        <v>41693</v>
      </c>
      <c r="B54">
        <v>1</v>
      </c>
      <c r="C54">
        <v>3.34</v>
      </c>
      <c r="D54">
        <v>2</v>
      </c>
      <c r="E54">
        <v>21</v>
      </c>
      <c r="F54">
        <v>10</v>
      </c>
      <c r="G54">
        <v>0</v>
      </c>
      <c r="H54">
        <v>0</v>
      </c>
      <c r="I54">
        <v>0</v>
      </c>
    </row>
    <row r="55" spans="1:9" x14ac:dyDescent="0.25">
      <c r="A55" s="18">
        <v>41694</v>
      </c>
      <c r="B55">
        <v>7</v>
      </c>
      <c r="C55">
        <v>4.68</v>
      </c>
      <c r="D55">
        <v>5.5</v>
      </c>
      <c r="E55">
        <v>26.5</v>
      </c>
      <c r="F55">
        <v>4</v>
      </c>
      <c r="G55">
        <v>0</v>
      </c>
      <c r="H55">
        <v>0</v>
      </c>
      <c r="I55">
        <v>3</v>
      </c>
    </row>
    <row r="56" spans="1:9" x14ac:dyDescent="0.25">
      <c r="A56" s="18">
        <v>41695</v>
      </c>
      <c r="B56">
        <v>5</v>
      </c>
      <c r="C56">
        <v>1.68</v>
      </c>
      <c r="D56">
        <v>11.2</v>
      </c>
      <c r="E56">
        <v>34.5</v>
      </c>
      <c r="F56">
        <v>13</v>
      </c>
      <c r="G56">
        <v>0</v>
      </c>
      <c r="H56">
        <v>0</v>
      </c>
      <c r="I56">
        <v>2</v>
      </c>
    </row>
    <row r="57" spans="1:9" x14ac:dyDescent="0.25">
      <c r="A57" s="18">
        <v>41696</v>
      </c>
      <c r="B57">
        <v>5</v>
      </c>
      <c r="C57">
        <v>4.01</v>
      </c>
      <c r="D57">
        <v>1</v>
      </c>
      <c r="E57">
        <v>34</v>
      </c>
      <c r="F57">
        <v>5</v>
      </c>
      <c r="G57">
        <v>0</v>
      </c>
      <c r="H57">
        <v>12</v>
      </c>
      <c r="I57">
        <v>1</v>
      </c>
    </row>
    <row r="58" spans="1:9" x14ac:dyDescent="0.25">
      <c r="A58" s="18">
        <v>41697</v>
      </c>
      <c r="B58">
        <v>3</v>
      </c>
      <c r="C58">
        <v>6.34</v>
      </c>
      <c r="D58">
        <v>4</v>
      </c>
      <c r="E58">
        <v>33.200000000000003</v>
      </c>
      <c r="F58">
        <v>8</v>
      </c>
      <c r="G58">
        <v>1</v>
      </c>
      <c r="H58">
        <v>2</v>
      </c>
      <c r="I58">
        <v>1</v>
      </c>
    </row>
    <row r="59" spans="1:9" x14ac:dyDescent="0.25">
      <c r="A59" s="18">
        <v>41698</v>
      </c>
      <c r="B59">
        <v>7</v>
      </c>
      <c r="C59">
        <v>7.36</v>
      </c>
      <c r="D59">
        <v>5.3</v>
      </c>
      <c r="E59">
        <v>37</v>
      </c>
      <c r="F59">
        <v>12</v>
      </c>
      <c r="G59">
        <v>1</v>
      </c>
      <c r="H59">
        <v>2</v>
      </c>
      <c r="I59">
        <v>0</v>
      </c>
    </row>
    <row r="60" spans="1:9" x14ac:dyDescent="0.25">
      <c r="A60" s="18">
        <v>41699</v>
      </c>
      <c r="B60">
        <v>6.34</v>
      </c>
      <c r="C60">
        <v>3.68</v>
      </c>
      <c r="D60">
        <v>11.355</v>
      </c>
      <c r="E60">
        <v>50.7</v>
      </c>
      <c r="F60">
        <v>8</v>
      </c>
      <c r="G60">
        <v>0</v>
      </c>
      <c r="H60">
        <v>0</v>
      </c>
      <c r="I60">
        <v>2.1</v>
      </c>
    </row>
    <row r="61" spans="1:9" x14ac:dyDescent="0.25">
      <c r="A61" s="18">
        <v>41700</v>
      </c>
      <c r="B61">
        <v>3.34</v>
      </c>
      <c r="C61">
        <v>1</v>
      </c>
      <c r="D61">
        <v>2</v>
      </c>
      <c r="E61">
        <v>6.6</v>
      </c>
      <c r="F61">
        <v>2</v>
      </c>
      <c r="G61">
        <v>0</v>
      </c>
      <c r="H61">
        <v>0</v>
      </c>
      <c r="I61">
        <v>1</v>
      </c>
    </row>
    <row r="62" spans="1:9" x14ac:dyDescent="0.25">
      <c r="A62" s="18">
        <v>41701</v>
      </c>
      <c r="B62">
        <v>4</v>
      </c>
      <c r="C62">
        <v>3.68</v>
      </c>
      <c r="D62">
        <v>1.6</v>
      </c>
      <c r="E62">
        <v>22.1</v>
      </c>
      <c r="F62">
        <v>1</v>
      </c>
      <c r="G62">
        <v>2</v>
      </c>
      <c r="H62">
        <v>0</v>
      </c>
      <c r="I62">
        <v>2.2000000000000002</v>
      </c>
    </row>
    <row r="63" spans="1:9" x14ac:dyDescent="0.25">
      <c r="A63" s="18">
        <v>41702</v>
      </c>
      <c r="B63">
        <v>5.34</v>
      </c>
      <c r="C63">
        <v>7.02</v>
      </c>
      <c r="D63">
        <v>7.2</v>
      </c>
      <c r="E63">
        <v>47.274999999999999</v>
      </c>
      <c r="F63">
        <v>9</v>
      </c>
      <c r="G63">
        <v>0</v>
      </c>
      <c r="H63">
        <v>5</v>
      </c>
      <c r="I63">
        <v>4</v>
      </c>
    </row>
    <row r="64" spans="1:9" x14ac:dyDescent="0.25">
      <c r="A64" s="18">
        <v>41703</v>
      </c>
      <c r="B64">
        <v>3.34</v>
      </c>
      <c r="C64">
        <v>1</v>
      </c>
      <c r="D64">
        <v>3</v>
      </c>
      <c r="E64">
        <v>25</v>
      </c>
      <c r="F64">
        <v>4</v>
      </c>
      <c r="G64">
        <v>0</v>
      </c>
      <c r="H64">
        <v>1</v>
      </c>
      <c r="I64">
        <v>0</v>
      </c>
    </row>
    <row r="65" spans="1:9" x14ac:dyDescent="0.25">
      <c r="A65" s="18">
        <v>41704</v>
      </c>
      <c r="B65">
        <v>3</v>
      </c>
      <c r="C65">
        <v>2</v>
      </c>
      <c r="D65">
        <v>5.5</v>
      </c>
      <c r="E65">
        <v>44.1</v>
      </c>
      <c r="F65">
        <v>17</v>
      </c>
      <c r="G65">
        <v>1</v>
      </c>
      <c r="H65">
        <v>5</v>
      </c>
      <c r="I65">
        <v>1</v>
      </c>
    </row>
    <row r="66" spans="1:9" x14ac:dyDescent="0.25">
      <c r="A66" s="18">
        <v>41705</v>
      </c>
      <c r="B66">
        <v>4</v>
      </c>
      <c r="C66">
        <v>4.34</v>
      </c>
      <c r="D66">
        <v>9.5</v>
      </c>
      <c r="E66">
        <v>25</v>
      </c>
      <c r="F66">
        <v>3</v>
      </c>
      <c r="G66">
        <v>1</v>
      </c>
      <c r="H66">
        <v>0</v>
      </c>
      <c r="I66">
        <v>2</v>
      </c>
    </row>
    <row r="67" spans="1:9" x14ac:dyDescent="0.25">
      <c r="A67" s="18">
        <v>41706</v>
      </c>
      <c r="B67">
        <v>4.34</v>
      </c>
      <c r="C67">
        <v>3.07</v>
      </c>
      <c r="D67">
        <v>1</v>
      </c>
      <c r="E67">
        <v>27.6</v>
      </c>
      <c r="F67">
        <v>11</v>
      </c>
      <c r="G67">
        <v>0</v>
      </c>
      <c r="H67">
        <v>0</v>
      </c>
      <c r="I67">
        <v>0</v>
      </c>
    </row>
    <row r="68" spans="1:9" x14ac:dyDescent="0.25">
      <c r="A68" s="18">
        <v>41707</v>
      </c>
      <c r="B68">
        <v>1</v>
      </c>
      <c r="C68">
        <v>0</v>
      </c>
      <c r="D68">
        <v>4</v>
      </c>
      <c r="E68">
        <v>11.3</v>
      </c>
      <c r="F68">
        <v>3</v>
      </c>
      <c r="G68">
        <v>0</v>
      </c>
      <c r="H68">
        <v>5</v>
      </c>
      <c r="I68">
        <v>0</v>
      </c>
    </row>
    <row r="69" spans="1:9" x14ac:dyDescent="0.25">
      <c r="A69" s="18">
        <v>41708</v>
      </c>
      <c r="B69">
        <v>6.68</v>
      </c>
      <c r="C69">
        <v>5.35</v>
      </c>
      <c r="D69">
        <v>3.8</v>
      </c>
      <c r="E69">
        <v>47</v>
      </c>
      <c r="F69">
        <v>11</v>
      </c>
      <c r="G69">
        <v>0</v>
      </c>
      <c r="H69">
        <v>0</v>
      </c>
      <c r="I69">
        <v>2</v>
      </c>
    </row>
    <row r="70" spans="1:9" x14ac:dyDescent="0.25">
      <c r="A70" s="18">
        <v>41709</v>
      </c>
      <c r="B70">
        <v>6</v>
      </c>
      <c r="C70">
        <v>5.7</v>
      </c>
      <c r="D70">
        <v>7</v>
      </c>
      <c r="E70">
        <v>30.4</v>
      </c>
      <c r="F70">
        <v>12</v>
      </c>
      <c r="G70">
        <v>1</v>
      </c>
      <c r="H70">
        <v>1</v>
      </c>
      <c r="I70">
        <v>5</v>
      </c>
    </row>
    <row r="71" spans="1:9" x14ac:dyDescent="0.25">
      <c r="A71" s="18">
        <v>41710</v>
      </c>
      <c r="B71">
        <v>6.34</v>
      </c>
      <c r="C71">
        <v>2.68</v>
      </c>
      <c r="D71">
        <v>6.5</v>
      </c>
      <c r="E71">
        <v>19.600000000000001</v>
      </c>
      <c r="F71">
        <v>22</v>
      </c>
      <c r="G71">
        <v>3</v>
      </c>
      <c r="H71">
        <v>2</v>
      </c>
      <c r="I71">
        <v>2</v>
      </c>
    </row>
    <row r="72" spans="1:9" x14ac:dyDescent="0.25">
      <c r="A72" s="18">
        <v>41711</v>
      </c>
      <c r="B72">
        <v>2.31</v>
      </c>
      <c r="C72">
        <v>4.3600000000000003</v>
      </c>
      <c r="D72">
        <v>5.3</v>
      </c>
      <c r="E72">
        <v>15.5</v>
      </c>
      <c r="F72">
        <v>10</v>
      </c>
      <c r="G72">
        <v>0</v>
      </c>
      <c r="H72">
        <v>26</v>
      </c>
      <c r="I72">
        <v>2</v>
      </c>
    </row>
    <row r="73" spans="1:9" x14ac:dyDescent="0.25">
      <c r="A73" s="18">
        <v>41712</v>
      </c>
      <c r="B73">
        <v>4.34</v>
      </c>
      <c r="C73">
        <v>1.68</v>
      </c>
      <c r="D73">
        <v>1.2</v>
      </c>
      <c r="E73">
        <v>16</v>
      </c>
      <c r="F73">
        <v>11</v>
      </c>
      <c r="G73">
        <v>0</v>
      </c>
      <c r="H73">
        <v>1</v>
      </c>
      <c r="I73">
        <v>2</v>
      </c>
    </row>
    <row r="74" spans="1:9" x14ac:dyDescent="0.25">
      <c r="A74" s="18">
        <v>41713</v>
      </c>
      <c r="B74">
        <v>4</v>
      </c>
      <c r="C74">
        <v>2</v>
      </c>
      <c r="D74">
        <v>11</v>
      </c>
      <c r="E74">
        <v>23.3</v>
      </c>
      <c r="F74">
        <v>18</v>
      </c>
      <c r="G74">
        <v>1</v>
      </c>
      <c r="H74">
        <v>6</v>
      </c>
      <c r="I74">
        <v>2</v>
      </c>
    </row>
    <row r="75" spans="1:9" x14ac:dyDescent="0.25">
      <c r="A75" s="18">
        <v>41714</v>
      </c>
      <c r="B75">
        <v>2.68</v>
      </c>
      <c r="C75">
        <v>2</v>
      </c>
      <c r="D75">
        <v>1.4</v>
      </c>
      <c r="E75">
        <v>13</v>
      </c>
      <c r="F75">
        <v>6</v>
      </c>
      <c r="G75">
        <v>0</v>
      </c>
      <c r="H75">
        <v>0</v>
      </c>
      <c r="I75">
        <v>4</v>
      </c>
    </row>
    <row r="76" spans="1:9" x14ac:dyDescent="0.25">
      <c r="A76" s="18">
        <v>41715</v>
      </c>
      <c r="B76">
        <v>8.68</v>
      </c>
      <c r="C76">
        <v>3.34</v>
      </c>
      <c r="D76">
        <v>7</v>
      </c>
      <c r="E76">
        <v>37</v>
      </c>
      <c r="F76">
        <v>6</v>
      </c>
      <c r="G76">
        <v>1</v>
      </c>
      <c r="H76">
        <v>0</v>
      </c>
      <c r="I76">
        <v>1</v>
      </c>
    </row>
    <row r="77" spans="1:9" x14ac:dyDescent="0.25">
      <c r="A77" s="18">
        <v>41716</v>
      </c>
      <c r="B77">
        <v>8</v>
      </c>
      <c r="C77">
        <v>4</v>
      </c>
      <c r="D77">
        <v>5</v>
      </c>
      <c r="E77">
        <v>20.100000000000001</v>
      </c>
      <c r="F77">
        <v>9</v>
      </c>
      <c r="G77">
        <v>0</v>
      </c>
      <c r="H77">
        <v>0</v>
      </c>
      <c r="I77">
        <v>4</v>
      </c>
    </row>
    <row r="78" spans="1:9" x14ac:dyDescent="0.25">
      <c r="A78" s="18">
        <v>41717</v>
      </c>
      <c r="B78">
        <v>4</v>
      </c>
      <c r="C78">
        <v>3.02</v>
      </c>
      <c r="D78">
        <v>4</v>
      </c>
      <c r="E78">
        <v>21.8</v>
      </c>
      <c r="F78">
        <v>2</v>
      </c>
      <c r="G78">
        <v>0</v>
      </c>
      <c r="H78">
        <v>0</v>
      </c>
      <c r="I78">
        <v>2</v>
      </c>
    </row>
    <row r="79" spans="1:9" x14ac:dyDescent="0.25">
      <c r="A79" s="18">
        <v>41718</v>
      </c>
      <c r="B79">
        <v>3</v>
      </c>
      <c r="C79">
        <v>5.34</v>
      </c>
      <c r="D79">
        <v>1.6</v>
      </c>
      <c r="E79">
        <v>38.200000000000003</v>
      </c>
      <c r="F79">
        <v>5</v>
      </c>
      <c r="G79">
        <v>0</v>
      </c>
      <c r="H79">
        <v>7</v>
      </c>
      <c r="I79">
        <v>4.2</v>
      </c>
    </row>
    <row r="80" spans="1:9" x14ac:dyDescent="0.25">
      <c r="A80" s="18">
        <v>41719</v>
      </c>
      <c r="B80">
        <v>6</v>
      </c>
      <c r="C80">
        <v>3.68</v>
      </c>
      <c r="D80">
        <v>4.5</v>
      </c>
      <c r="E80">
        <v>40</v>
      </c>
      <c r="F80">
        <v>4</v>
      </c>
      <c r="G80">
        <v>0</v>
      </c>
      <c r="H80">
        <v>2</v>
      </c>
      <c r="I80">
        <v>1</v>
      </c>
    </row>
    <row r="81" spans="1:9" x14ac:dyDescent="0.25">
      <c r="A81" s="18">
        <v>41720</v>
      </c>
      <c r="B81">
        <v>3.34</v>
      </c>
      <c r="C81">
        <v>2.34</v>
      </c>
      <c r="D81">
        <v>0</v>
      </c>
      <c r="E81">
        <v>26.3</v>
      </c>
      <c r="F81">
        <v>10</v>
      </c>
      <c r="G81">
        <v>2</v>
      </c>
      <c r="H81">
        <v>18</v>
      </c>
      <c r="I81">
        <v>8.4</v>
      </c>
    </row>
    <row r="82" spans="1:9" x14ac:dyDescent="0.25">
      <c r="A82" s="18">
        <v>41721</v>
      </c>
      <c r="B82">
        <v>6.34</v>
      </c>
      <c r="C82">
        <v>2</v>
      </c>
      <c r="D82">
        <v>4</v>
      </c>
      <c r="E82">
        <v>19.399999999999999</v>
      </c>
      <c r="F82">
        <v>0</v>
      </c>
      <c r="G82">
        <v>1</v>
      </c>
      <c r="H82">
        <v>0</v>
      </c>
      <c r="I82">
        <v>3</v>
      </c>
    </row>
    <row r="83" spans="1:9" x14ac:dyDescent="0.25">
      <c r="A83" s="18">
        <v>41722</v>
      </c>
      <c r="B83">
        <v>5.68</v>
      </c>
      <c r="C83">
        <v>1</v>
      </c>
      <c r="D83">
        <v>4</v>
      </c>
      <c r="E83">
        <v>23.6</v>
      </c>
      <c r="F83">
        <v>7</v>
      </c>
      <c r="G83">
        <v>0</v>
      </c>
      <c r="H83">
        <v>6</v>
      </c>
      <c r="I83">
        <v>3.5</v>
      </c>
    </row>
    <row r="84" spans="1:9" x14ac:dyDescent="0.25">
      <c r="A84" s="18">
        <v>41723</v>
      </c>
      <c r="B84">
        <v>4</v>
      </c>
      <c r="C84">
        <v>1.34</v>
      </c>
      <c r="D84">
        <v>9</v>
      </c>
      <c r="E84">
        <v>38.6</v>
      </c>
      <c r="F84">
        <v>7</v>
      </c>
      <c r="G84">
        <v>0</v>
      </c>
      <c r="H84">
        <v>1</v>
      </c>
      <c r="I84">
        <v>1</v>
      </c>
    </row>
    <row r="85" spans="1:9" x14ac:dyDescent="0.25">
      <c r="A85" s="18">
        <v>41724</v>
      </c>
      <c r="B85">
        <v>2.34</v>
      </c>
      <c r="C85">
        <v>3.99</v>
      </c>
      <c r="D85">
        <v>9</v>
      </c>
      <c r="E85">
        <v>6.7</v>
      </c>
      <c r="F85">
        <v>7</v>
      </c>
      <c r="G85">
        <v>3</v>
      </c>
      <c r="H85">
        <v>3</v>
      </c>
      <c r="I85">
        <v>0</v>
      </c>
    </row>
    <row r="86" spans="1:9" x14ac:dyDescent="0.25">
      <c r="A86" s="18">
        <v>41725</v>
      </c>
      <c r="B86">
        <v>4</v>
      </c>
      <c r="C86">
        <v>0.33</v>
      </c>
      <c r="D86">
        <v>2</v>
      </c>
      <c r="E86">
        <v>20.7</v>
      </c>
      <c r="F86">
        <v>6</v>
      </c>
      <c r="G86">
        <v>1</v>
      </c>
      <c r="H86">
        <v>1</v>
      </c>
      <c r="I86">
        <v>5</v>
      </c>
    </row>
    <row r="87" spans="1:9" x14ac:dyDescent="0.25">
      <c r="A87" s="18">
        <v>41726</v>
      </c>
      <c r="B87">
        <v>2.67</v>
      </c>
      <c r="C87">
        <v>2</v>
      </c>
      <c r="D87">
        <v>8</v>
      </c>
      <c r="E87">
        <v>11</v>
      </c>
      <c r="F87">
        <v>3</v>
      </c>
      <c r="G87">
        <v>0</v>
      </c>
      <c r="H87">
        <v>9</v>
      </c>
      <c r="I87">
        <v>5</v>
      </c>
    </row>
    <row r="88" spans="1:9" x14ac:dyDescent="0.25">
      <c r="A88" s="18">
        <v>41727</v>
      </c>
      <c r="B88">
        <v>4</v>
      </c>
      <c r="C88">
        <v>6.33</v>
      </c>
      <c r="D88">
        <v>4.2</v>
      </c>
      <c r="E88">
        <v>24</v>
      </c>
      <c r="F88">
        <v>8</v>
      </c>
      <c r="G88">
        <v>2</v>
      </c>
      <c r="H88">
        <v>9</v>
      </c>
      <c r="I88">
        <v>3</v>
      </c>
    </row>
    <row r="89" spans="1:9" x14ac:dyDescent="0.25">
      <c r="A89" s="18">
        <v>41728</v>
      </c>
      <c r="B89">
        <v>3</v>
      </c>
      <c r="C89">
        <v>2.34</v>
      </c>
      <c r="D89">
        <v>0</v>
      </c>
      <c r="E89">
        <v>12</v>
      </c>
      <c r="F89">
        <v>4</v>
      </c>
      <c r="G89">
        <v>0</v>
      </c>
      <c r="H89">
        <v>0</v>
      </c>
      <c r="I89">
        <v>7</v>
      </c>
    </row>
    <row r="90" spans="1:9" x14ac:dyDescent="0.25">
      <c r="A90" s="18">
        <v>41729</v>
      </c>
      <c r="B90">
        <v>5.34</v>
      </c>
      <c r="C90">
        <v>2.34</v>
      </c>
      <c r="D90">
        <v>4</v>
      </c>
      <c r="E90">
        <v>15.4</v>
      </c>
      <c r="F90">
        <v>6</v>
      </c>
      <c r="G90">
        <v>1</v>
      </c>
      <c r="H90">
        <v>4</v>
      </c>
      <c r="I90">
        <v>6</v>
      </c>
    </row>
    <row r="91" spans="1:9" x14ac:dyDescent="0.25">
      <c r="A91" s="18">
        <v>41730</v>
      </c>
      <c r="B91">
        <v>4.34</v>
      </c>
      <c r="C91">
        <v>1.34</v>
      </c>
      <c r="D91">
        <v>6.5</v>
      </c>
      <c r="E91">
        <v>27.5</v>
      </c>
      <c r="F91">
        <v>5</v>
      </c>
      <c r="G91">
        <v>3</v>
      </c>
      <c r="H91">
        <v>3</v>
      </c>
      <c r="I91">
        <v>1</v>
      </c>
    </row>
    <row r="92" spans="1:9" x14ac:dyDescent="0.25">
      <c r="A92" s="18">
        <v>41731</v>
      </c>
      <c r="B92">
        <v>2</v>
      </c>
      <c r="C92">
        <v>4.68</v>
      </c>
      <c r="D92">
        <v>8.9</v>
      </c>
      <c r="E92">
        <v>23</v>
      </c>
      <c r="F92">
        <v>1</v>
      </c>
      <c r="G92">
        <v>0</v>
      </c>
      <c r="H92">
        <v>7</v>
      </c>
      <c r="I92">
        <v>3</v>
      </c>
    </row>
    <row r="93" spans="1:9" x14ac:dyDescent="0.25">
      <c r="A93" s="18">
        <v>41732</v>
      </c>
      <c r="B93">
        <v>1</v>
      </c>
      <c r="C93">
        <v>1.34</v>
      </c>
      <c r="D93">
        <v>3</v>
      </c>
      <c r="E93">
        <v>19.2</v>
      </c>
      <c r="F93">
        <v>4</v>
      </c>
      <c r="G93">
        <v>0</v>
      </c>
      <c r="H93">
        <v>0</v>
      </c>
      <c r="I93">
        <v>4</v>
      </c>
    </row>
    <row r="94" spans="1:9" x14ac:dyDescent="0.25">
      <c r="A94" s="18">
        <v>41733</v>
      </c>
      <c r="B94">
        <v>3</v>
      </c>
      <c r="C94">
        <v>3.67</v>
      </c>
      <c r="D94">
        <v>3</v>
      </c>
      <c r="E94">
        <v>24</v>
      </c>
      <c r="F94">
        <v>9</v>
      </c>
      <c r="G94">
        <v>3</v>
      </c>
      <c r="H94">
        <v>8</v>
      </c>
      <c r="I94">
        <v>2</v>
      </c>
    </row>
    <row r="95" spans="1:9" x14ac:dyDescent="0.25">
      <c r="A95" s="18">
        <v>41734</v>
      </c>
      <c r="B95">
        <v>2</v>
      </c>
      <c r="C95">
        <v>7.68</v>
      </c>
      <c r="D95">
        <v>10</v>
      </c>
      <c r="E95">
        <v>25.6</v>
      </c>
      <c r="F95">
        <v>5</v>
      </c>
      <c r="G95">
        <v>0</v>
      </c>
      <c r="H95">
        <v>5</v>
      </c>
      <c r="I95">
        <v>3</v>
      </c>
    </row>
    <row r="96" spans="1:9" x14ac:dyDescent="0.25">
      <c r="A96" s="18">
        <v>41735</v>
      </c>
      <c r="B96">
        <v>2</v>
      </c>
      <c r="C96">
        <v>1</v>
      </c>
      <c r="D96">
        <v>1</v>
      </c>
      <c r="E96">
        <v>19</v>
      </c>
      <c r="F96">
        <v>1</v>
      </c>
      <c r="G96">
        <v>0</v>
      </c>
      <c r="H96">
        <v>0</v>
      </c>
      <c r="I96">
        <v>1</v>
      </c>
    </row>
    <row r="97" spans="1:9" x14ac:dyDescent="0.25">
      <c r="A97" s="18">
        <v>41736</v>
      </c>
      <c r="B97">
        <v>6.34</v>
      </c>
      <c r="C97">
        <v>6</v>
      </c>
      <c r="D97">
        <v>6.5</v>
      </c>
      <c r="E97">
        <v>31.5</v>
      </c>
      <c r="F97">
        <v>4</v>
      </c>
      <c r="G97">
        <v>0</v>
      </c>
      <c r="H97">
        <v>0</v>
      </c>
      <c r="I97">
        <v>1</v>
      </c>
    </row>
    <row r="98" spans="1:9" x14ac:dyDescent="0.25">
      <c r="A98" s="18">
        <v>41737</v>
      </c>
      <c r="B98">
        <v>4.34</v>
      </c>
      <c r="C98">
        <v>2.34</v>
      </c>
      <c r="D98">
        <v>1.7</v>
      </c>
      <c r="E98">
        <v>19</v>
      </c>
      <c r="F98">
        <v>6</v>
      </c>
      <c r="G98">
        <v>1</v>
      </c>
      <c r="H98">
        <v>0</v>
      </c>
      <c r="I98">
        <v>4.7</v>
      </c>
    </row>
    <row r="99" spans="1:9" x14ac:dyDescent="0.25">
      <c r="A99" s="18">
        <v>41738</v>
      </c>
      <c r="B99">
        <v>6</v>
      </c>
      <c r="C99">
        <v>1.02</v>
      </c>
      <c r="D99">
        <v>1</v>
      </c>
      <c r="E99">
        <v>18</v>
      </c>
      <c r="F99">
        <v>2</v>
      </c>
      <c r="G99">
        <v>1</v>
      </c>
      <c r="H99">
        <v>2</v>
      </c>
      <c r="I99">
        <v>2.6</v>
      </c>
    </row>
    <row r="100" spans="1:9" x14ac:dyDescent="0.25">
      <c r="A100" s="18">
        <v>41739</v>
      </c>
      <c r="B100">
        <v>3.33</v>
      </c>
      <c r="C100">
        <v>1.68</v>
      </c>
      <c r="D100">
        <v>1</v>
      </c>
      <c r="E100">
        <v>18</v>
      </c>
      <c r="F100">
        <v>10</v>
      </c>
      <c r="G100">
        <v>0</v>
      </c>
      <c r="H100">
        <v>4</v>
      </c>
      <c r="I100">
        <v>4</v>
      </c>
    </row>
    <row r="101" spans="1:9" x14ac:dyDescent="0.25">
      <c r="A101" s="18">
        <v>41740</v>
      </c>
      <c r="B101">
        <v>6</v>
      </c>
      <c r="C101">
        <v>4</v>
      </c>
      <c r="D101">
        <v>3</v>
      </c>
      <c r="E101">
        <v>25</v>
      </c>
      <c r="F101">
        <v>2</v>
      </c>
      <c r="G101">
        <v>2</v>
      </c>
      <c r="H101">
        <v>0</v>
      </c>
      <c r="I101">
        <v>2</v>
      </c>
    </row>
    <row r="102" spans="1:9" x14ac:dyDescent="0.25">
      <c r="A102" s="18">
        <v>41741</v>
      </c>
      <c r="B102">
        <v>7.02</v>
      </c>
      <c r="C102">
        <v>3.34</v>
      </c>
      <c r="D102">
        <v>6</v>
      </c>
      <c r="E102">
        <v>23.5</v>
      </c>
      <c r="F102">
        <v>19</v>
      </c>
      <c r="G102">
        <v>0</v>
      </c>
      <c r="H102">
        <v>11</v>
      </c>
      <c r="I102">
        <v>4</v>
      </c>
    </row>
    <row r="103" spans="1:9" x14ac:dyDescent="0.25">
      <c r="A103" s="18">
        <v>41742</v>
      </c>
      <c r="B103">
        <v>3</v>
      </c>
      <c r="C103">
        <v>2</v>
      </c>
      <c r="D103">
        <v>2</v>
      </c>
      <c r="E103">
        <v>6</v>
      </c>
      <c r="F103">
        <v>3</v>
      </c>
      <c r="G103">
        <v>0</v>
      </c>
      <c r="H103">
        <v>5</v>
      </c>
      <c r="I103">
        <v>2</v>
      </c>
    </row>
    <row r="104" spans="1:9" x14ac:dyDescent="0.25">
      <c r="A104" s="18">
        <v>41743</v>
      </c>
      <c r="B104">
        <v>1.34</v>
      </c>
      <c r="C104">
        <v>4.68</v>
      </c>
      <c r="D104">
        <v>5.35</v>
      </c>
      <c r="E104">
        <v>28.28</v>
      </c>
      <c r="F104">
        <v>10</v>
      </c>
      <c r="G104">
        <v>0</v>
      </c>
      <c r="H104">
        <v>5</v>
      </c>
      <c r="I104">
        <v>5</v>
      </c>
    </row>
    <row r="105" spans="1:9" x14ac:dyDescent="0.25">
      <c r="A105" s="18">
        <v>41744</v>
      </c>
      <c r="B105">
        <v>4.34</v>
      </c>
      <c r="C105">
        <v>3</v>
      </c>
      <c r="D105">
        <v>6.4</v>
      </c>
      <c r="E105">
        <v>18.7</v>
      </c>
      <c r="F105">
        <v>12</v>
      </c>
      <c r="G105">
        <v>0</v>
      </c>
      <c r="H105">
        <v>10</v>
      </c>
      <c r="I105">
        <v>1</v>
      </c>
    </row>
    <row r="106" spans="1:9" x14ac:dyDescent="0.25">
      <c r="A106" s="18">
        <v>41745</v>
      </c>
      <c r="B106">
        <v>2</v>
      </c>
      <c r="C106">
        <v>1.01</v>
      </c>
      <c r="D106">
        <v>4.2</v>
      </c>
      <c r="E106">
        <v>25.62</v>
      </c>
      <c r="F106">
        <v>1</v>
      </c>
      <c r="G106">
        <v>0</v>
      </c>
      <c r="H106">
        <v>6</v>
      </c>
      <c r="I106">
        <v>4</v>
      </c>
    </row>
    <row r="107" spans="1:9" x14ac:dyDescent="0.25">
      <c r="A107" s="18">
        <v>41746</v>
      </c>
      <c r="B107">
        <v>5.34</v>
      </c>
      <c r="C107">
        <v>0.34</v>
      </c>
      <c r="D107">
        <v>7.2</v>
      </c>
      <c r="E107">
        <v>16</v>
      </c>
      <c r="F107">
        <v>19</v>
      </c>
      <c r="G107">
        <v>0</v>
      </c>
      <c r="H107">
        <v>0</v>
      </c>
      <c r="I107">
        <v>0</v>
      </c>
    </row>
    <row r="108" spans="1:9" x14ac:dyDescent="0.25">
      <c r="A108" s="18">
        <v>41747</v>
      </c>
      <c r="B108">
        <v>7</v>
      </c>
      <c r="C108">
        <v>7</v>
      </c>
      <c r="D108">
        <v>8</v>
      </c>
      <c r="E108">
        <v>23.3</v>
      </c>
      <c r="F108">
        <v>10</v>
      </c>
      <c r="G108">
        <v>1</v>
      </c>
      <c r="H108">
        <v>0</v>
      </c>
      <c r="I108">
        <v>5</v>
      </c>
    </row>
    <row r="109" spans="1:9" x14ac:dyDescent="0.25">
      <c r="A109" s="18">
        <v>41748</v>
      </c>
      <c r="B109">
        <v>7.34</v>
      </c>
      <c r="C109">
        <v>3.35</v>
      </c>
      <c r="D109">
        <v>4</v>
      </c>
      <c r="E109">
        <v>22.3</v>
      </c>
      <c r="F109">
        <v>7</v>
      </c>
      <c r="G109">
        <v>0</v>
      </c>
      <c r="H109">
        <v>3</v>
      </c>
      <c r="I109">
        <v>5</v>
      </c>
    </row>
    <row r="110" spans="1:9" x14ac:dyDescent="0.25">
      <c r="A110" s="18">
        <v>41749</v>
      </c>
      <c r="B110">
        <v>6.34</v>
      </c>
      <c r="C110">
        <v>2</v>
      </c>
      <c r="D110">
        <v>2</v>
      </c>
      <c r="E110">
        <v>20</v>
      </c>
      <c r="F110">
        <v>7</v>
      </c>
      <c r="G110">
        <v>0</v>
      </c>
      <c r="H110">
        <v>0</v>
      </c>
      <c r="I110">
        <v>4</v>
      </c>
    </row>
    <row r="111" spans="1:9" x14ac:dyDescent="0.25">
      <c r="A111" s="18">
        <v>41750</v>
      </c>
      <c r="B111">
        <v>1.34</v>
      </c>
      <c r="C111">
        <v>1.68</v>
      </c>
      <c r="D111">
        <v>2.1</v>
      </c>
      <c r="E111">
        <v>13.5</v>
      </c>
      <c r="F111">
        <v>8</v>
      </c>
      <c r="G111">
        <v>0</v>
      </c>
      <c r="H111">
        <v>0</v>
      </c>
      <c r="I111">
        <v>1</v>
      </c>
    </row>
    <row r="112" spans="1:9" x14ac:dyDescent="0.25">
      <c r="A112" s="18">
        <v>41751</v>
      </c>
      <c r="B112">
        <v>5.34</v>
      </c>
      <c r="C112">
        <v>7.165</v>
      </c>
      <c r="D112">
        <v>3.3</v>
      </c>
      <c r="E112">
        <v>32</v>
      </c>
      <c r="F112">
        <v>8</v>
      </c>
      <c r="G112">
        <v>1</v>
      </c>
      <c r="H112">
        <v>0</v>
      </c>
      <c r="I112">
        <v>1</v>
      </c>
    </row>
    <row r="113" spans="1:9" x14ac:dyDescent="0.25">
      <c r="A113" s="18">
        <v>41752</v>
      </c>
      <c r="B113">
        <v>6.34</v>
      </c>
      <c r="C113">
        <v>2.34</v>
      </c>
      <c r="D113">
        <v>3</v>
      </c>
      <c r="E113">
        <v>24.9</v>
      </c>
      <c r="F113">
        <v>8</v>
      </c>
      <c r="G113">
        <v>1</v>
      </c>
      <c r="H113">
        <v>2</v>
      </c>
      <c r="I113">
        <v>1</v>
      </c>
    </row>
    <row r="114" spans="1:9" x14ac:dyDescent="0.25">
      <c r="A114" s="18">
        <v>41753</v>
      </c>
      <c r="B114">
        <v>2</v>
      </c>
      <c r="C114">
        <v>2</v>
      </c>
      <c r="D114">
        <v>1.1000000000000001</v>
      </c>
      <c r="E114">
        <v>26</v>
      </c>
      <c r="F114">
        <v>6</v>
      </c>
      <c r="G114">
        <v>0</v>
      </c>
      <c r="H114">
        <v>6</v>
      </c>
      <c r="I114">
        <v>2</v>
      </c>
    </row>
    <row r="115" spans="1:9" x14ac:dyDescent="0.25">
      <c r="A115" s="18">
        <v>41754</v>
      </c>
      <c r="B115">
        <v>3</v>
      </c>
      <c r="C115">
        <v>2.02</v>
      </c>
      <c r="D115">
        <v>5</v>
      </c>
      <c r="E115">
        <v>24.9</v>
      </c>
      <c r="F115">
        <v>10</v>
      </c>
      <c r="G115">
        <v>1</v>
      </c>
      <c r="H115">
        <v>1</v>
      </c>
      <c r="I115">
        <v>3</v>
      </c>
    </row>
    <row r="116" spans="1:9" x14ac:dyDescent="0.25">
      <c r="A116" s="18">
        <v>41755</v>
      </c>
      <c r="B116">
        <v>4.34</v>
      </c>
      <c r="C116">
        <v>2.67</v>
      </c>
      <c r="D116">
        <v>5.5</v>
      </c>
      <c r="E116">
        <v>35</v>
      </c>
      <c r="F116">
        <v>12</v>
      </c>
      <c r="G116">
        <v>1</v>
      </c>
      <c r="H116">
        <v>6</v>
      </c>
      <c r="I116">
        <v>4</v>
      </c>
    </row>
    <row r="117" spans="1:9" x14ac:dyDescent="0.25">
      <c r="A117" s="18">
        <v>41756</v>
      </c>
      <c r="B117">
        <v>4</v>
      </c>
      <c r="C117">
        <v>2.34</v>
      </c>
      <c r="D117">
        <v>2</v>
      </c>
      <c r="E117">
        <v>26.2</v>
      </c>
      <c r="F117">
        <v>2</v>
      </c>
      <c r="G117">
        <v>0</v>
      </c>
      <c r="H117">
        <v>1</v>
      </c>
      <c r="I117">
        <v>1</v>
      </c>
    </row>
    <row r="118" spans="1:9" x14ac:dyDescent="0.25">
      <c r="A118" s="18">
        <v>41757</v>
      </c>
      <c r="B118">
        <v>1.34</v>
      </c>
      <c r="C118">
        <v>3.09</v>
      </c>
      <c r="D118">
        <v>3</v>
      </c>
      <c r="E118">
        <v>29.1</v>
      </c>
      <c r="F118">
        <v>8</v>
      </c>
      <c r="G118">
        <v>2</v>
      </c>
      <c r="H118">
        <v>0</v>
      </c>
      <c r="I118">
        <v>2</v>
      </c>
    </row>
    <row r="119" spans="1:9" x14ac:dyDescent="0.25">
      <c r="A119" s="18">
        <v>41758</v>
      </c>
      <c r="B119">
        <v>3.33</v>
      </c>
      <c r="C119">
        <v>4.0199999999999996</v>
      </c>
      <c r="D119">
        <v>4.4000000000000004</v>
      </c>
      <c r="E119">
        <v>30.3</v>
      </c>
      <c r="F119">
        <v>6</v>
      </c>
      <c r="G119">
        <v>1</v>
      </c>
      <c r="H119">
        <v>5</v>
      </c>
      <c r="I119">
        <v>0.4</v>
      </c>
    </row>
    <row r="120" spans="1:9" x14ac:dyDescent="0.25">
      <c r="A120" s="18">
        <v>41759</v>
      </c>
      <c r="B120">
        <v>4.34</v>
      </c>
      <c r="C120">
        <v>2.68</v>
      </c>
      <c r="D120">
        <v>7</v>
      </c>
      <c r="E120">
        <v>43.1</v>
      </c>
      <c r="F120">
        <v>11</v>
      </c>
      <c r="G120">
        <v>0</v>
      </c>
      <c r="H120">
        <v>7</v>
      </c>
      <c r="I120">
        <v>4</v>
      </c>
    </row>
    <row r="121" spans="1:9" x14ac:dyDescent="0.25">
      <c r="A121" s="18">
        <v>41760</v>
      </c>
      <c r="B121">
        <v>1.67</v>
      </c>
      <c r="C121">
        <v>6</v>
      </c>
      <c r="D121">
        <v>3</v>
      </c>
      <c r="E121">
        <v>12</v>
      </c>
      <c r="F121">
        <v>3</v>
      </c>
      <c r="G121">
        <v>0</v>
      </c>
      <c r="H121">
        <v>1</v>
      </c>
      <c r="I121">
        <v>4</v>
      </c>
    </row>
    <row r="122" spans="1:9" x14ac:dyDescent="0.25">
      <c r="A122" s="18">
        <v>41761</v>
      </c>
      <c r="B122">
        <v>7.34</v>
      </c>
      <c r="C122">
        <v>7.34</v>
      </c>
      <c r="D122">
        <v>6.3</v>
      </c>
      <c r="E122">
        <v>39.5</v>
      </c>
      <c r="F122">
        <v>16</v>
      </c>
      <c r="G122">
        <v>1</v>
      </c>
      <c r="H122">
        <v>12</v>
      </c>
      <c r="I122">
        <v>2</v>
      </c>
    </row>
    <row r="123" spans="1:9" x14ac:dyDescent="0.25">
      <c r="A123" s="18">
        <v>41762</v>
      </c>
      <c r="B123">
        <v>4</v>
      </c>
      <c r="C123">
        <v>5.34</v>
      </c>
      <c r="D123">
        <v>2</v>
      </c>
      <c r="E123">
        <v>14.6</v>
      </c>
      <c r="F123">
        <v>5</v>
      </c>
      <c r="G123">
        <v>2</v>
      </c>
      <c r="H123">
        <v>0</v>
      </c>
      <c r="I123">
        <v>2.5</v>
      </c>
    </row>
    <row r="124" spans="1:9" x14ac:dyDescent="0.25">
      <c r="A124" s="18">
        <v>41763</v>
      </c>
      <c r="B124">
        <v>1.67</v>
      </c>
      <c r="C124">
        <v>4.6900000000000004</v>
      </c>
      <c r="D124">
        <v>1.2</v>
      </c>
      <c r="E124">
        <v>20</v>
      </c>
      <c r="F124">
        <v>3</v>
      </c>
      <c r="G124">
        <v>0</v>
      </c>
      <c r="H124">
        <v>0</v>
      </c>
      <c r="I124">
        <v>3</v>
      </c>
    </row>
    <row r="125" spans="1:9" x14ac:dyDescent="0.25">
      <c r="A125" s="18">
        <v>41764</v>
      </c>
      <c r="B125">
        <v>3</v>
      </c>
      <c r="C125">
        <v>5.7850000000000001</v>
      </c>
      <c r="D125">
        <v>5</v>
      </c>
      <c r="E125">
        <v>20</v>
      </c>
      <c r="F125">
        <v>7</v>
      </c>
      <c r="G125">
        <v>0</v>
      </c>
      <c r="H125">
        <v>3</v>
      </c>
      <c r="I125">
        <v>4</v>
      </c>
    </row>
    <row r="126" spans="1:9" x14ac:dyDescent="0.25">
      <c r="A126" s="18">
        <v>41765</v>
      </c>
      <c r="B126">
        <v>7.34</v>
      </c>
      <c r="C126">
        <v>4.3600000000000003</v>
      </c>
      <c r="D126">
        <v>4</v>
      </c>
      <c r="E126">
        <v>22</v>
      </c>
      <c r="F126">
        <v>10</v>
      </c>
      <c r="G126">
        <v>2</v>
      </c>
      <c r="H126">
        <v>6</v>
      </c>
      <c r="I126">
        <v>5</v>
      </c>
    </row>
    <row r="127" spans="1:9" x14ac:dyDescent="0.25">
      <c r="A127" s="18">
        <v>41766</v>
      </c>
      <c r="B127">
        <v>3.33</v>
      </c>
      <c r="C127">
        <v>6.32</v>
      </c>
      <c r="D127">
        <v>3</v>
      </c>
      <c r="E127">
        <v>16.8</v>
      </c>
      <c r="F127">
        <v>8</v>
      </c>
      <c r="G127">
        <v>1</v>
      </c>
      <c r="H127">
        <v>3</v>
      </c>
      <c r="I127">
        <v>11</v>
      </c>
    </row>
    <row r="128" spans="1:9" x14ac:dyDescent="0.25">
      <c r="A128" s="18">
        <v>41767</v>
      </c>
      <c r="B128">
        <v>2</v>
      </c>
      <c r="C128">
        <v>2.34</v>
      </c>
      <c r="D128">
        <v>3.4</v>
      </c>
      <c r="E128">
        <v>20.399999999999999</v>
      </c>
      <c r="F128">
        <v>10</v>
      </c>
      <c r="G128">
        <v>3</v>
      </c>
      <c r="H128">
        <v>0</v>
      </c>
      <c r="I128">
        <v>5</v>
      </c>
    </row>
    <row r="129" spans="1:9" x14ac:dyDescent="0.25">
      <c r="A129" s="18">
        <v>41768</v>
      </c>
      <c r="B129">
        <v>2</v>
      </c>
      <c r="C129">
        <v>5</v>
      </c>
      <c r="D129">
        <v>4.2</v>
      </c>
      <c r="E129">
        <v>16</v>
      </c>
      <c r="F129">
        <v>12</v>
      </c>
      <c r="G129">
        <v>2</v>
      </c>
      <c r="H129">
        <v>1</v>
      </c>
      <c r="I129">
        <v>2</v>
      </c>
    </row>
    <row r="130" spans="1:9" x14ac:dyDescent="0.25">
      <c r="A130" s="18">
        <v>41769</v>
      </c>
      <c r="B130">
        <v>5</v>
      </c>
      <c r="C130">
        <v>6</v>
      </c>
      <c r="D130">
        <v>9</v>
      </c>
      <c r="E130">
        <v>39.4</v>
      </c>
      <c r="F130">
        <v>15</v>
      </c>
      <c r="G130">
        <v>3</v>
      </c>
      <c r="H130">
        <v>1</v>
      </c>
      <c r="I130">
        <v>5</v>
      </c>
    </row>
    <row r="131" spans="1:9" x14ac:dyDescent="0.25">
      <c r="A131" s="18">
        <v>41770</v>
      </c>
      <c r="B131">
        <v>2</v>
      </c>
      <c r="C131">
        <v>2.68</v>
      </c>
      <c r="D131">
        <v>1</v>
      </c>
      <c r="E131">
        <v>17</v>
      </c>
      <c r="F131">
        <v>7</v>
      </c>
      <c r="G131">
        <v>0</v>
      </c>
      <c r="H131">
        <v>1</v>
      </c>
      <c r="I131">
        <v>4</v>
      </c>
    </row>
    <row r="132" spans="1:9" x14ac:dyDescent="0.25">
      <c r="A132" s="18">
        <v>41771</v>
      </c>
      <c r="B132">
        <v>4.34</v>
      </c>
      <c r="C132">
        <v>3.34</v>
      </c>
      <c r="D132">
        <v>9</v>
      </c>
      <c r="E132">
        <v>12</v>
      </c>
      <c r="F132">
        <v>8</v>
      </c>
      <c r="G132">
        <v>0</v>
      </c>
      <c r="H132">
        <v>5</v>
      </c>
      <c r="I132">
        <v>2</v>
      </c>
    </row>
    <row r="133" spans="1:9" x14ac:dyDescent="0.25">
      <c r="A133" s="18">
        <v>41772</v>
      </c>
      <c r="B133">
        <v>3.68</v>
      </c>
      <c r="C133">
        <v>0.34</v>
      </c>
      <c r="D133">
        <v>6.2</v>
      </c>
      <c r="E133">
        <v>32</v>
      </c>
      <c r="F133">
        <v>7</v>
      </c>
      <c r="G133">
        <v>0</v>
      </c>
      <c r="H133">
        <v>25</v>
      </c>
      <c r="I133">
        <v>7.5</v>
      </c>
    </row>
    <row r="134" spans="1:9" x14ac:dyDescent="0.25">
      <c r="A134" s="18">
        <v>41773</v>
      </c>
      <c r="B134">
        <v>1</v>
      </c>
      <c r="C134">
        <v>4.0199999999999996</v>
      </c>
      <c r="D134">
        <v>6</v>
      </c>
      <c r="E134">
        <v>24.3</v>
      </c>
      <c r="F134">
        <v>4</v>
      </c>
      <c r="G134">
        <v>0</v>
      </c>
      <c r="H134">
        <v>0</v>
      </c>
      <c r="I134">
        <v>3</v>
      </c>
    </row>
    <row r="135" spans="1:9" x14ac:dyDescent="0.25">
      <c r="A135" s="18">
        <v>41774</v>
      </c>
      <c r="B135">
        <v>2.34</v>
      </c>
      <c r="C135">
        <v>2.02</v>
      </c>
      <c r="D135">
        <v>3</v>
      </c>
      <c r="E135">
        <v>19.3</v>
      </c>
      <c r="F135">
        <v>7</v>
      </c>
      <c r="G135">
        <v>0</v>
      </c>
      <c r="H135">
        <v>1</v>
      </c>
      <c r="I135">
        <v>2</v>
      </c>
    </row>
    <row r="136" spans="1:9" x14ac:dyDescent="0.25">
      <c r="A136" s="18">
        <v>41775</v>
      </c>
      <c r="B136">
        <v>5.34</v>
      </c>
      <c r="C136">
        <v>7</v>
      </c>
      <c r="D136">
        <v>3</v>
      </c>
      <c r="E136">
        <v>22</v>
      </c>
      <c r="F136">
        <v>10</v>
      </c>
      <c r="G136">
        <v>1</v>
      </c>
      <c r="H136">
        <v>11</v>
      </c>
      <c r="I136">
        <v>1</v>
      </c>
    </row>
    <row r="137" spans="1:9" x14ac:dyDescent="0.25">
      <c r="A137" s="18">
        <v>41776</v>
      </c>
      <c r="B137">
        <v>2.34</v>
      </c>
      <c r="C137">
        <v>7.68</v>
      </c>
      <c r="D137">
        <v>3</v>
      </c>
      <c r="E137">
        <v>35</v>
      </c>
      <c r="F137">
        <v>14</v>
      </c>
      <c r="G137">
        <v>1</v>
      </c>
      <c r="H137">
        <v>0</v>
      </c>
      <c r="I137">
        <v>2</v>
      </c>
    </row>
    <row r="138" spans="1:9" x14ac:dyDescent="0.25">
      <c r="A138" s="18">
        <v>41777</v>
      </c>
      <c r="B138">
        <v>3.34</v>
      </c>
      <c r="C138">
        <v>2</v>
      </c>
      <c r="D138">
        <v>5</v>
      </c>
      <c r="E138">
        <v>9.4</v>
      </c>
      <c r="F138">
        <v>6</v>
      </c>
      <c r="G138">
        <v>0</v>
      </c>
      <c r="H138">
        <v>0</v>
      </c>
      <c r="I138">
        <v>1</v>
      </c>
    </row>
    <row r="139" spans="1:9" x14ac:dyDescent="0.25">
      <c r="A139" s="18">
        <v>41778</v>
      </c>
      <c r="B139">
        <v>8.34</v>
      </c>
      <c r="C139">
        <v>3.84</v>
      </c>
      <c r="D139">
        <v>6.1</v>
      </c>
      <c r="E139">
        <v>12.8</v>
      </c>
      <c r="F139">
        <v>5</v>
      </c>
      <c r="G139">
        <v>0</v>
      </c>
      <c r="H139">
        <v>3</v>
      </c>
      <c r="I139">
        <v>9</v>
      </c>
    </row>
    <row r="140" spans="1:9" x14ac:dyDescent="0.25">
      <c r="A140" s="18">
        <v>41779</v>
      </c>
      <c r="B140">
        <v>1</v>
      </c>
      <c r="C140">
        <v>2.375</v>
      </c>
      <c r="D140">
        <v>7</v>
      </c>
      <c r="E140">
        <v>27</v>
      </c>
      <c r="F140">
        <v>10</v>
      </c>
      <c r="G140">
        <v>1</v>
      </c>
      <c r="H140">
        <v>0</v>
      </c>
      <c r="I140">
        <v>3.6</v>
      </c>
    </row>
    <row r="141" spans="1:9" x14ac:dyDescent="0.25">
      <c r="A141" s="18">
        <v>41780</v>
      </c>
      <c r="B141">
        <v>2</v>
      </c>
      <c r="C141">
        <v>4.68</v>
      </c>
      <c r="D141">
        <v>9.5</v>
      </c>
      <c r="E141">
        <v>15.4</v>
      </c>
      <c r="F141">
        <v>6</v>
      </c>
      <c r="G141">
        <v>1</v>
      </c>
      <c r="H141">
        <v>0</v>
      </c>
      <c r="I141">
        <v>3</v>
      </c>
    </row>
    <row r="142" spans="1:9" x14ac:dyDescent="0.25">
      <c r="A142" s="18">
        <v>41781</v>
      </c>
      <c r="B142">
        <v>3.68</v>
      </c>
      <c r="C142">
        <v>1.33</v>
      </c>
      <c r="D142">
        <v>1.2</v>
      </c>
      <c r="E142">
        <v>8</v>
      </c>
      <c r="F142">
        <v>8</v>
      </c>
      <c r="G142">
        <v>0</v>
      </c>
      <c r="H142">
        <v>2</v>
      </c>
      <c r="I142">
        <v>4</v>
      </c>
    </row>
    <row r="143" spans="1:9" x14ac:dyDescent="0.25">
      <c r="A143" s="18">
        <v>41782</v>
      </c>
      <c r="B143">
        <v>5</v>
      </c>
      <c r="C143">
        <v>2.34</v>
      </c>
      <c r="D143">
        <v>3.9</v>
      </c>
      <c r="E143">
        <v>17.5</v>
      </c>
      <c r="F143">
        <v>8</v>
      </c>
      <c r="G143">
        <v>2</v>
      </c>
      <c r="H143">
        <v>10</v>
      </c>
      <c r="I143">
        <v>7</v>
      </c>
    </row>
    <row r="144" spans="1:9" x14ac:dyDescent="0.25">
      <c r="A144" s="18">
        <v>41783</v>
      </c>
      <c r="B144">
        <v>3</v>
      </c>
      <c r="C144">
        <v>4.7130000000000001</v>
      </c>
      <c r="D144">
        <v>5</v>
      </c>
      <c r="E144">
        <v>28</v>
      </c>
      <c r="F144">
        <v>11</v>
      </c>
      <c r="G144">
        <v>1</v>
      </c>
      <c r="H144">
        <v>0</v>
      </c>
      <c r="I144">
        <v>9</v>
      </c>
    </row>
    <row r="145" spans="1:9" x14ac:dyDescent="0.25">
      <c r="A145" s="18">
        <v>41784</v>
      </c>
      <c r="B145">
        <v>2</v>
      </c>
      <c r="C145">
        <v>3</v>
      </c>
      <c r="D145">
        <v>1</v>
      </c>
      <c r="E145">
        <v>7</v>
      </c>
      <c r="F145">
        <v>8</v>
      </c>
      <c r="G145">
        <v>0</v>
      </c>
      <c r="H145">
        <v>5</v>
      </c>
      <c r="I145">
        <v>1</v>
      </c>
    </row>
    <row r="146" spans="1:9" x14ac:dyDescent="0.25">
      <c r="A146" s="18">
        <v>41785</v>
      </c>
      <c r="B146">
        <v>2.68</v>
      </c>
      <c r="C146">
        <v>3.34</v>
      </c>
      <c r="D146">
        <v>7.4</v>
      </c>
      <c r="E146">
        <v>18</v>
      </c>
      <c r="F146">
        <v>7</v>
      </c>
      <c r="G146">
        <v>1</v>
      </c>
      <c r="H146">
        <v>0</v>
      </c>
      <c r="I146">
        <v>5</v>
      </c>
    </row>
    <row r="147" spans="1:9" x14ac:dyDescent="0.25">
      <c r="A147" s="18">
        <v>41786</v>
      </c>
      <c r="B147">
        <v>0</v>
      </c>
      <c r="C147">
        <v>2.34</v>
      </c>
      <c r="D147">
        <v>5</v>
      </c>
      <c r="E147">
        <v>28.6</v>
      </c>
      <c r="F147">
        <v>12</v>
      </c>
      <c r="G147">
        <v>1</v>
      </c>
      <c r="H147">
        <v>1</v>
      </c>
      <c r="I147">
        <v>6</v>
      </c>
    </row>
    <row r="148" spans="1:9" x14ac:dyDescent="0.25">
      <c r="A148" s="18">
        <v>41787</v>
      </c>
      <c r="B148">
        <v>1.34</v>
      </c>
      <c r="C148">
        <v>5.0199999999999996</v>
      </c>
      <c r="D148">
        <v>1.4</v>
      </c>
      <c r="E148">
        <v>10.28</v>
      </c>
      <c r="F148">
        <v>9</v>
      </c>
      <c r="G148">
        <v>0</v>
      </c>
      <c r="H148">
        <v>2</v>
      </c>
      <c r="I148">
        <v>5.0999999999999996</v>
      </c>
    </row>
    <row r="149" spans="1:9" x14ac:dyDescent="0.25">
      <c r="A149" s="18">
        <v>41788</v>
      </c>
      <c r="B149">
        <v>4</v>
      </c>
      <c r="C149">
        <v>5.34</v>
      </c>
      <c r="D149">
        <v>6.3</v>
      </c>
      <c r="E149">
        <v>27</v>
      </c>
      <c r="F149">
        <v>13</v>
      </c>
      <c r="G149">
        <v>0</v>
      </c>
      <c r="H149">
        <v>0</v>
      </c>
      <c r="I149">
        <v>2</v>
      </c>
    </row>
    <row r="150" spans="1:9" x14ac:dyDescent="0.25">
      <c r="A150" s="18">
        <v>41789</v>
      </c>
      <c r="B150">
        <v>3.02</v>
      </c>
      <c r="C150">
        <v>2.02</v>
      </c>
      <c r="D150">
        <v>2</v>
      </c>
      <c r="E150">
        <v>21.5</v>
      </c>
      <c r="F150">
        <v>14</v>
      </c>
      <c r="G150">
        <v>0</v>
      </c>
      <c r="H150">
        <v>0</v>
      </c>
      <c r="I150">
        <v>5</v>
      </c>
    </row>
    <row r="151" spans="1:9" x14ac:dyDescent="0.25">
      <c r="A151" s="18">
        <v>41790</v>
      </c>
      <c r="B151">
        <v>5.67</v>
      </c>
      <c r="C151">
        <v>3.34</v>
      </c>
      <c r="D151">
        <v>2</v>
      </c>
      <c r="E151">
        <v>28</v>
      </c>
      <c r="F151">
        <v>10</v>
      </c>
      <c r="G151">
        <v>0</v>
      </c>
      <c r="H151">
        <v>15</v>
      </c>
      <c r="I151">
        <v>2</v>
      </c>
    </row>
    <row r="152" spans="1:9" x14ac:dyDescent="0.25">
      <c r="A152" s="18">
        <v>41791</v>
      </c>
      <c r="B152">
        <v>1</v>
      </c>
      <c r="C152">
        <v>0.68</v>
      </c>
      <c r="D152">
        <v>1</v>
      </c>
      <c r="E152">
        <v>10</v>
      </c>
      <c r="F152">
        <v>4</v>
      </c>
      <c r="G152">
        <v>1</v>
      </c>
      <c r="H152">
        <v>1</v>
      </c>
      <c r="I152">
        <v>3</v>
      </c>
    </row>
    <row r="153" spans="1:9" x14ac:dyDescent="0.25">
      <c r="A153" s="18">
        <v>41792</v>
      </c>
      <c r="B153">
        <v>4</v>
      </c>
      <c r="C153">
        <v>4.34</v>
      </c>
      <c r="D153">
        <v>10</v>
      </c>
      <c r="E153">
        <v>23.3</v>
      </c>
      <c r="F153">
        <v>16</v>
      </c>
      <c r="G153">
        <v>3</v>
      </c>
      <c r="H153">
        <v>0</v>
      </c>
      <c r="I153">
        <v>3</v>
      </c>
    </row>
    <row r="154" spans="1:9" x14ac:dyDescent="0.25">
      <c r="A154" s="18">
        <v>41793</v>
      </c>
      <c r="B154">
        <v>3</v>
      </c>
      <c r="C154">
        <v>2</v>
      </c>
      <c r="D154">
        <v>2.4</v>
      </c>
      <c r="E154">
        <v>24</v>
      </c>
      <c r="F154">
        <v>7</v>
      </c>
      <c r="G154">
        <v>2</v>
      </c>
      <c r="H154">
        <v>5</v>
      </c>
      <c r="I154">
        <v>3</v>
      </c>
    </row>
    <row r="155" spans="1:9" x14ac:dyDescent="0.25">
      <c r="A155" s="18">
        <v>41794</v>
      </c>
      <c r="B155">
        <v>1</v>
      </c>
      <c r="C155">
        <v>4.68</v>
      </c>
      <c r="D155">
        <v>3.5</v>
      </c>
      <c r="E155">
        <v>24</v>
      </c>
      <c r="F155">
        <v>6</v>
      </c>
      <c r="G155">
        <v>0</v>
      </c>
      <c r="H155">
        <v>1</v>
      </c>
      <c r="I155">
        <v>2.5</v>
      </c>
    </row>
    <row r="156" spans="1:9" x14ac:dyDescent="0.25">
      <c r="A156" s="18">
        <v>41795</v>
      </c>
      <c r="B156">
        <v>0.34</v>
      </c>
      <c r="C156">
        <v>4.68</v>
      </c>
      <c r="D156">
        <v>4.5</v>
      </c>
      <c r="E156">
        <v>22.5</v>
      </c>
      <c r="F156">
        <v>4</v>
      </c>
      <c r="G156">
        <v>0</v>
      </c>
      <c r="H156">
        <v>0</v>
      </c>
      <c r="I156">
        <v>5</v>
      </c>
    </row>
    <row r="157" spans="1:9" x14ac:dyDescent="0.25">
      <c r="A157" s="18">
        <v>41796</v>
      </c>
      <c r="B157">
        <v>5</v>
      </c>
      <c r="C157">
        <v>1.68</v>
      </c>
      <c r="D157">
        <v>3</v>
      </c>
      <c r="E157">
        <v>16.625</v>
      </c>
      <c r="F157">
        <v>15</v>
      </c>
      <c r="G157">
        <v>2</v>
      </c>
      <c r="H157">
        <v>1</v>
      </c>
      <c r="I157">
        <v>5</v>
      </c>
    </row>
    <row r="158" spans="1:9" x14ac:dyDescent="0.25">
      <c r="A158" s="18">
        <v>41797</v>
      </c>
      <c r="B158">
        <v>9</v>
      </c>
      <c r="C158">
        <v>3.68</v>
      </c>
      <c r="D158">
        <v>7.5</v>
      </c>
      <c r="E158">
        <v>33</v>
      </c>
      <c r="F158">
        <v>8</v>
      </c>
      <c r="G158">
        <v>1</v>
      </c>
      <c r="H158">
        <v>6</v>
      </c>
      <c r="I158">
        <v>7</v>
      </c>
    </row>
    <row r="159" spans="1:9" x14ac:dyDescent="0.25">
      <c r="A159" s="18">
        <v>41798</v>
      </c>
      <c r="B159">
        <v>1</v>
      </c>
      <c r="C159">
        <v>2</v>
      </c>
      <c r="D159">
        <v>3</v>
      </c>
      <c r="E159">
        <v>11</v>
      </c>
      <c r="F159">
        <v>8</v>
      </c>
      <c r="G159">
        <v>0</v>
      </c>
      <c r="H159">
        <v>6</v>
      </c>
      <c r="I159">
        <v>2</v>
      </c>
    </row>
    <row r="160" spans="1:9" x14ac:dyDescent="0.25">
      <c r="A160" s="18">
        <v>41799</v>
      </c>
      <c r="B160">
        <v>6.33</v>
      </c>
      <c r="C160">
        <v>1.34</v>
      </c>
      <c r="D160">
        <v>5</v>
      </c>
      <c r="E160">
        <v>18</v>
      </c>
      <c r="F160">
        <v>17</v>
      </c>
      <c r="G160">
        <v>4</v>
      </c>
      <c r="H160">
        <v>0</v>
      </c>
      <c r="I160">
        <v>11</v>
      </c>
    </row>
    <row r="161" spans="1:9" x14ac:dyDescent="0.25">
      <c r="A161" s="18">
        <v>41800</v>
      </c>
      <c r="B161">
        <v>8.68</v>
      </c>
      <c r="C161">
        <v>2.68</v>
      </c>
      <c r="D161">
        <v>4.3</v>
      </c>
      <c r="E161">
        <v>23</v>
      </c>
      <c r="F161">
        <v>16</v>
      </c>
      <c r="G161">
        <v>2</v>
      </c>
      <c r="H161">
        <v>2</v>
      </c>
      <c r="I161">
        <v>6.5</v>
      </c>
    </row>
    <row r="162" spans="1:9" x14ac:dyDescent="0.25">
      <c r="A162" s="18">
        <v>41801</v>
      </c>
      <c r="B162">
        <v>4.34</v>
      </c>
      <c r="C162">
        <v>0.68</v>
      </c>
      <c r="D162">
        <v>2.2999999999999998</v>
      </c>
      <c r="E162">
        <v>12.5</v>
      </c>
      <c r="F162">
        <v>16</v>
      </c>
      <c r="G162">
        <v>2</v>
      </c>
      <c r="H162">
        <v>12</v>
      </c>
      <c r="I162">
        <v>9</v>
      </c>
    </row>
    <row r="163" spans="1:9" x14ac:dyDescent="0.25">
      <c r="A163" s="18">
        <v>41802</v>
      </c>
      <c r="B163">
        <v>4.34</v>
      </c>
      <c r="C163">
        <v>3</v>
      </c>
      <c r="D163">
        <v>1</v>
      </c>
      <c r="E163">
        <v>15.8</v>
      </c>
      <c r="F163">
        <v>12</v>
      </c>
      <c r="G163">
        <v>0</v>
      </c>
      <c r="H163">
        <v>2</v>
      </c>
      <c r="I163">
        <v>3</v>
      </c>
    </row>
    <row r="164" spans="1:9" x14ac:dyDescent="0.25">
      <c r="A164" s="18">
        <v>41803</v>
      </c>
      <c r="B164">
        <v>1</v>
      </c>
      <c r="C164">
        <v>2.68</v>
      </c>
      <c r="D164">
        <v>5</v>
      </c>
      <c r="E164">
        <v>10</v>
      </c>
      <c r="F164">
        <v>11</v>
      </c>
      <c r="G164">
        <v>0</v>
      </c>
      <c r="H164">
        <v>3</v>
      </c>
      <c r="I164">
        <v>1</v>
      </c>
    </row>
    <row r="165" spans="1:9" x14ac:dyDescent="0.25">
      <c r="A165" s="18">
        <v>41804</v>
      </c>
      <c r="B165">
        <v>4</v>
      </c>
      <c r="C165">
        <v>5.0199999999999996</v>
      </c>
      <c r="D165">
        <v>6</v>
      </c>
      <c r="E165">
        <v>8</v>
      </c>
      <c r="F165">
        <v>10</v>
      </c>
      <c r="G165">
        <v>0</v>
      </c>
      <c r="H165">
        <v>1</v>
      </c>
      <c r="I165">
        <v>3</v>
      </c>
    </row>
    <row r="166" spans="1:9" x14ac:dyDescent="0.25">
      <c r="A166" s="18">
        <v>41805</v>
      </c>
      <c r="B166">
        <v>0.34</v>
      </c>
      <c r="C166">
        <v>2</v>
      </c>
      <c r="D166">
        <v>0</v>
      </c>
      <c r="E166">
        <v>8</v>
      </c>
      <c r="F166">
        <v>5</v>
      </c>
      <c r="G166">
        <v>0</v>
      </c>
      <c r="H166">
        <v>0</v>
      </c>
      <c r="I166">
        <v>3.3</v>
      </c>
    </row>
    <row r="167" spans="1:9" x14ac:dyDescent="0.25">
      <c r="A167" s="18">
        <v>41806</v>
      </c>
      <c r="B167">
        <v>4.34</v>
      </c>
      <c r="C167">
        <v>4.34</v>
      </c>
      <c r="D167">
        <v>7.4</v>
      </c>
      <c r="E167">
        <v>12.2</v>
      </c>
      <c r="F167">
        <v>11</v>
      </c>
      <c r="G167">
        <v>0</v>
      </c>
      <c r="H167">
        <v>5</v>
      </c>
      <c r="I167">
        <v>5</v>
      </c>
    </row>
    <row r="168" spans="1:9" x14ac:dyDescent="0.25">
      <c r="A168" s="18">
        <v>41807</v>
      </c>
      <c r="B168">
        <v>5</v>
      </c>
      <c r="C168">
        <v>2.34</v>
      </c>
      <c r="D168">
        <v>4</v>
      </c>
      <c r="E168">
        <v>14</v>
      </c>
      <c r="F168">
        <v>12</v>
      </c>
      <c r="G168">
        <v>2</v>
      </c>
      <c r="H168">
        <v>0</v>
      </c>
      <c r="I168">
        <v>3</v>
      </c>
    </row>
    <row r="169" spans="1:9" x14ac:dyDescent="0.25">
      <c r="A169" s="18">
        <v>41808</v>
      </c>
      <c r="B169">
        <v>2</v>
      </c>
      <c r="C169">
        <v>2</v>
      </c>
      <c r="D169">
        <v>4.7</v>
      </c>
      <c r="E169">
        <v>18</v>
      </c>
      <c r="F169">
        <v>6</v>
      </c>
      <c r="G169">
        <v>0</v>
      </c>
      <c r="H169">
        <v>1</v>
      </c>
      <c r="I169">
        <v>3</v>
      </c>
    </row>
    <row r="170" spans="1:9" x14ac:dyDescent="0.25">
      <c r="A170" s="18">
        <v>41809</v>
      </c>
      <c r="B170">
        <v>3</v>
      </c>
      <c r="C170">
        <v>3.33</v>
      </c>
      <c r="D170">
        <v>1</v>
      </c>
      <c r="E170">
        <v>14</v>
      </c>
      <c r="F170">
        <v>8</v>
      </c>
      <c r="G170">
        <v>0</v>
      </c>
      <c r="H170">
        <v>0</v>
      </c>
      <c r="I170">
        <v>1</v>
      </c>
    </row>
    <row r="171" spans="1:9" x14ac:dyDescent="0.25">
      <c r="A171" s="18">
        <v>41810</v>
      </c>
      <c r="B171">
        <v>7.34</v>
      </c>
      <c r="C171">
        <v>2.02</v>
      </c>
      <c r="D171">
        <v>3</v>
      </c>
      <c r="E171">
        <v>14.5</v>
      </c>
      <c r="F171">
        <v>9</v>
      </c>
      <c r="G171">
        <v>0</v>
      </c>
      <c r="H171">
        <v>3</v>
      </c>
      <c r="I171">
        <v>6</v>
      </c>
    </row>
    <row r="172" spans="1:9" x14ac:dyDescent="0.25">
      <c r="A172" s="18">
        <v>41811</v>
      </c>
      <c r="B172">
        <v>6</v>
      </c>
      <c r="C172">
        <v>5.68</v>
      </c>
      <c r="D172">
        <v>2</v>
      </c>
      <c r="E172">
        <v>16</v>
      </c>
      <c r="F172">
        <v>12</v>
      </c>
      <c r="G172">
        <v>3</v>
      </c>
      <c r="H172">
        <v>0</v>
      </c>
      <c r="I172">
        <v>3</v>
      </c>
    </row>
    <row r="173" spans="1:9" x14ac:dyDescent="0.25">
      <c r="A173" s="18">
        <v>41812</v>
      </c>
      <c r="B173">
        <v>4</v>
      </c>
      <c r="C173">
        <v>1.02</v>
      </c>
      <c r="D173">
        <v>4</v>
      </c>
      <c r="E173">
        <v>18</v>
      </c>
      <c r="F173">
        <v>8</v>
      </c>
      <c r="G173">
        <v>0</v>
      </c>
      <c r="H173">
        <v>2</v>
      </c>
      <c r="I173">
        <v>3</v>
      </c>
    </row>
    <row r="174" spans="1:9" x14ac:dyDescent="0.25">
      <c r="A174" s="18">
        <v>41813</v>
      </c>
      <c r="B174">
        <v>2.34</v>
      </c>
      <c r="C174">
        <v>7.68</v>
      </c>
      <c r="D174">
        <v>3</v>
      </c>
      <c r="E174">
        <v>25.2</v>
      </c>
      <c r="F174">
        <v>12</v>
      </c>
      <c r="G174">
        <v>0</v>
      </c>
      <c r="H174">
        <v>2</v>
      </c>
      <c r="I174">
        <v>3</v>
      </c>
    </row>
    <row r="175" spans="1:9" x14ac:dyDescent="0.25">
      <c r="A175" s="18">
        <v>41814</v>
      </c>
      <c r="B175">
        <v>3</v>
      </c>
      <c r="C175">
        <v>5.14</v>
      </c>
      <c r="D175">
        <v>4</v>
      </c>
      <c r="E175">
        <v>16.2</v>
      </c>
      <c r="F175">
        <v>23</v>
      </c>
      <c r="G175">
        <v>0</v>
      </c>
      <c r="H175">
        <v>2</v>
      </c>
      <c r="I175">
        <v>4</v>
      </c>
    </row>
    <row r="176" spans="1:9" x14ac:dyDescent="0.25">
      <c r="A176" s="18">
        <v>41815</v>
      </c>
      <c r="B176">
        <v>8</v>
      </c>
      <c r="C176">
        <v>5.34</v>
      </c>
      <c r="D176">
        <v>7</v>
      </c>
      <c r="E176">
        <v>33.799999999999997</v>
      </c>
      <c r="F176">
        <v>19</v>
      </c>
      <c r="G176">
        <v>0</v>
      </c>
      <c r="H176">
        <v>0</v>
      </c>
      <c r="I176">
        <v>1</v>
      </c>
    </row>
    <row r="177" spans="1:9" x14ac:dyDescent="0.25">
      <c r="A177" s="18">
        <v>41816</v>
      </c>
      <c r="B177">
        <v>3</v>
      </c>
      <c r="C177">
        <v>2</v>
      </c>
      <c r="D177">
        <v>11.3</v>
      </c>
      <c r="E177">
        <v>19.3</v>
      </c>
      <c r="F177">
        <v>14</v>
      </c>
      <c r="G177">
        <v>0</v>
      </c>
      <c r="H177">
        <v>0</v>
      </c>
      <c r="I177">
        <v>1</v>
      </c>
    </row>
    <row r="178" spans="1:9" x14ac:dyDescent="0.25">
      <c r="A178" s="18">
        <v>41817</v>
      </c>
      <c r="B178">
        <v>4.34</v>
      </c>
      <c r="C178">
        <v>1</v>
      </c>
      <c r="D178">
        <v>6</v>
      </c>
      <c r="E178">
        <v>32.299999999999997</v>
      </c>
      <c r="F178">
        <v>13</v>
      </c>
      <c r="G178">
        <v>0</v>
      </c>
      <c r="H178">
        <v>1</v>
      </c>
      <c r="I178">
        <v>3</v>
      </c>
    </row>
    <row r="179" spans="1:9" x14ac:dyDescent="0.25">
      <c r="A179" s="18">
        <v>41818</v>
      </c>
      <c r="B179">
        <v>0.34</v>
      </c>
      <c r="C179">
        <v>5.34</v>
      </c>
      <c r="D179">
        <v>5</v>
      </c>
      <c r="E179">
        <v>20</v>
      </c>
      <c r="F179">
        <v>14</v>
      </c>
      <c r="G179">
        <v>1</v>
      </c>
      <c r="H179">
        <v>1</v>
      </c>
      <c r="I179">
        <v>5</v>
      </c>
    </row>
    <row r="180" spans="1:9" x14ac:dyDescent="0.25">
      <c r="A180" s="18">
        <v>41819</v>
      </c>
      <c r="B180">
        <v>0</v>
      </c>
      <c r="C180">
        <v>1</v>
      </c>
      <c r="D180">
        <v>1</v>
      </c>
      <c r="E180">
        <v>10</v>
      </c>
      <c r="F180">
        <v>1</v>
      </c>
      <c r="G180">
        <v>0</v>
      </c>
      <c r="H180">
        <v>0</v>
      </c>
      <c r="I180">
        <v>1</v>
      </c>
    </row>
    <row r="181" spans="1:9" x14ac:dyDescent="0.25">
      <c r="A181" s="18">
        <v>41820</v>
      </c>
      <c r="B181">
        <v>6</v>
      </c>
      <c r="C181">
        <v>5.34</v>
      </c>
      <c r="D181">
        <v>1</v>
      </c>
      <c r="E181">
        <v>25</v>
      </c>
      <c r="F181">
        <v>6</v>
      </c>
      <c r="G181">
        <v>0</v>
      </c>
      <c r="H181">
        <v>0</v>
      </c>
      <c r="I181">
        <v>0</v>
      </c>
    </row>
    <row r="182" spans="1:9" x14ac:dyDescent="0.25">
      <c r="A182" s="18">
        <v>41821</v>
      </c>
      <c r="B182">
        <v>4.34</v>
      </c>
      <c r="C182">
        <v>2.34</v>
      </c>
      <c r="D182">
        <v>2</v>
      </c>
      <c r="E182">
        <v>19</v>
      </c>
      <c r="F182">
        <v>10</v>
      </c>
      <c r="G182">
        <v>0</v>
      </c>
      <c r="H182">
        <v>0</v>
      </c>
      <c r="I182">
        <v>2</v>
      </c>
    </row>
    <row r="183" spans="1:9" x14ac:dyDescent="0.25">
      <c r="A183" s="18">
        <v>41822</v>
      </c>
      <c r="B183">
        <v>3</v>
      </c>
      <c r="C183">
        <v>0.34</v>
      </c>
      <c r="D183">
        <v>4</v>
      </c>
      <c r="E183">
        <v>21.6</v>
      </c>
      <c r="F183">
        <v>7</v>
      </c>
      <c r="G183">
        <v>0</v>
      </c>
      <c r="H183">
        <v>6</v>
      </c>
      <c r="I183">
        <v>3</v>
      </c>
    </row>
    <row r="184" spans="1:9" x14ac:dyDescent="0.25">
      <c r="A184" s="18">
        <v>41823</v>
      </c>
      <c r="B184">
        <v>2.33</v>
      </c>
      <c r="C184">
        <v>5.68</v>
      </c>
      <c r="D184">
        <v>7</v>
      </c>
      <c r="E184">
        <v>12.5</v>
      </c>
      <c r="F184">
        <v>7</v>
      </c>
      <c r="G184">
        <v>2</v>
      </c>
      <c r="H184">
        <v>0</v>
      </c>
      <c r="I184">
        <v>2</v>
      </c>
    </row>
    <row r="185" spans="1:9" x14ac:dyDescent="0.25">
      <c r="A185" s="18">
        <v>41824</v>
      </c>
      <c r="B185">
        <v>4.34</v>
      </c>
      <c r="C185">
        <v>4.7</v>
      </c>
      <c r="D185">
        <v>7</v>
      </c>
      <c r="E185">
        <v>10.5</v>
      </c>
      <c r="F185">
        <v>14</v>
      </c>
      <c r="G185">
        <v>0</v>
      </c>
      <c r="H185">
        <v>2</v>
      </c>
      <c r="I185">
        <v>3</v>
      </c>
    </row>
    <row r="186" spans="1:9" x14ac:dyDescent="0.25">
      <c r="A186" s="18">
        <v>41825</v>
      </c>
      <c r="B186">
        <v>3.34</v>
      </c>
      <c r="C186">
        <v>4.34</v>
      </c>
      <c r="D186">
        <v>6</v>
      </c>
      <c r="E186">
        <v>37</v>
      </c>
      <c r="F186">
        <v>11</v>
      </c>
      <c r="G186">
        <v>1</v>
      </c>
      <c r="H186">
        <v>0</v>
      </c>
      <c r="I186">
        <v>0</v>
      </c>
    </row>
    <row r="187" spans="1:9" x14ac:dyDescent="0.25">
      <c r="A187" s="18">
        <v>41826</v>
      </c>
      <c r="B187">
        <v>4</v>
      </c>
      <c r="C187">
        <v>2</v>
      </c>
      <c r="D187">
        <v>3</v>
      </c>
      <c r="E187">
        <v>10.199999999999999</v>
      </c>
      <c r="F187">
        <v>9</v>
      </c>
      <c r="G187">
        <v>0</v>
      </c>
      <c r="H187">
        <v>0</v>
      </c>
      <c r="I187">
        <v>0</v>
      </c>
    </row>
    <row r="188" spans="1:9" x14ac:dyDescent="0.25">
      <c r="A188" s="18">
        <v>41827</v>
      </c>
      <c r="B188">
        <v>2</v>
      </c>
      <c r="C188">
        <v>3.34</v>
      </c>
      <c r="D188">
        <v>4</v>
      </c>
      <c r="E188">
        <v>13</v>
      </c>
      <c r="F188">
        <v>11</v>
      </c>
      <c r="G188">
        <v>0</v>
      </c>
      <c r="H188">
        <v>0</v>
      </c>
      <c r="I188">
        <v>4</v>
      </c>
    </row>
    <row r="189" spans="1:9" x14ac:dyDescent="0.25">
      <c r="A189" s="18">
        <v>41828</v>
      </c>
      <c r="B189">
        <v>6.34</v>
      </c>
      <c r="C189">
        <v>2.34</v>
      </c>
      <c r="D189">
        <v>3</v>
      </c>
      <c r="E189">
        <v>14</v>
      </c>
      <c r="F189">
        <v>3</v>
      </c>
      <c r="G189">
        <v>0</v>
      </c>
      <c r="H189">
        <v>5</v>
      </c>
      <c r="I189">
        <v>1</v>
      </c>
    </row>
    <row r="190" spans="1:9" x14ac:dyDescent="0.25">
      <c r="A190" s="18">
        <v>41829</v>
      </c>
      <c r="B190">
        <v>3</v>
      </c>
      <c r="C190">
        <v>6.34</v>
      </c>
      <c r="D190">
        <v>5</v>
      </c>
      <c r="E190">
        <v>13</v>
      </c>
      <c r="F190">
        <v>6</v>
      </c>
      <c r="G190">
        <v>4</v>
      </c>
      <c r="H190">
        <v>0</v>
      </c>
      <c r="I190">
        <v>2.2000000000000002</v>
      </c>
    </row>
    <row r="191" spans="1:9" x14ac:dyDescent="0.25">
      <c r="A191" s="18">
        <v>41830</v>
      </c>
      <c r="B191">
        <v>2.33</v>
      </c>
      <c r="C191">
        <v>4.66</v>
      </c>
      <c r="D191">
        <v>8</v>
      </c>
      <c r="E191">
        <v>21.2</v>
      </c>
      <c r="F191">
        <v>32</v>
      </c>
      <c r="G191">
        <v>0</v>
      </c>
      <c r="H191">
        <v>5</v>
      </c>
      <c r="I191">
        <v>4</v>
      </c>
    </row>
    <row r="192" spans="1:9" x14ac:dyDescent="0.25">
      <c r="A192" s="18">
        <v>41831</v>
      </c>
      <c r="B192">
        <v>2</v>
      </c>
      <c r="C192">
        <v>1.68</v>
      </c>
      <c r="D192">
        <v>3.2</v>
      </c>
      <c r="E192">
        <v>16.5</v>
      </c>
      <c r="F192">
        <v>17</v>
      </c>
      <c r="G192">
        <v>0</v>
      </c>
      <c r="H192">
        <v>5</v>
      </c>
      <c r="I192">
        <v>1</v>
      </c>
    </row>
    <row r="193" spans="1:9" x14ac:dyDescent="0.25">
      <c r="A193" s="18">
        <v>41832</v>
      </c>
      <c r="B193">
        <v>8.34</v>
      </c>
      <c r="C193">
        <v>2.68</v>
      </c>
      <c r="D193">
        <v>10.5</v>
      </c>
      <c r="E193">
        <v>28.1</v>
      </c>
      <c r="F193">
        <v>12</v>
      </c>
      <c r="G193">
        <v>3</v>
      </c>
      <c r="H193">
        <v>12</v>
      </c>
      <c r="I193">
        <v>4</v>
      </c>
    </row>
    <row r="194" spans="1:9" x14ac:dyDescent="0.25">
      <c r="A194" s="18">
        <v>41833</v>
      </c>
      <c r="B194">
        <v>2</v>
      </c>
      <c r="C194">
        <v>1.34</v>
      </c>
      <c r="D194">
        <v>1</v>
      </c>
      <c r="E194">
        <v>17</v>
      </c>
      <c r="F194">
        <v>2</v>
      </c>
      <c r="G194">
        <v>0</v>
      </c>
      <c r="H194">
        <v>0</v>
      </c>
      <c r="I194">
        <v>0</v>
      </c>
    </row>
    <row r="195" spans="1:9" x14ac:dyDescent="0.25">
      <c r="A195" s="18">
        <v>41834</v>
      </c>
      <c r="B195">
        <v>5</v>
      </c>
      <c r="C195">
        <v>3.04</v>
      </c>
      <c r="D195">
        <v>3</v>
      </c>
      <c r="E195">
        <v>11.8</v>
      </c>
      <c r="F195">
        <v>19</v>
      </c>
      <c r="G195">
        <v>1</v>
      </c>
      <c r="H195">
        <v>2</v>
      </c>
      <c r="I195">
        <v>2</v>
      </c>
    </row>
    <row r="196" spans="1:9" x14ac:dyDescent="0.25">
      <c r="A196" s="18">
        <v>41835</v>
      </c>
      <c r="B196">
        <v>3.34</v>
      </c>
      <c r="C196">
        <v>1.68</v>
      </c>
      <c r="D196">
        <v>1</v>
      </c>
      <c r="E196">
        <v>15.6</v>
      </c>
      <c r="F196">
        <v>18</v>
      </c>
      <c r="G196">
        <v>0</v>
      </c>
      <c r="H196">
        <v>0</v>
      </c>
      <c r="I196">
        <v>1.3</v>
      </c>
    </row>
    <row r="197" spans="1:9" x14ac:dyDescent="0.25">
      <c r="A197" s="18">
        <v>41836</v>
      </c>
      <c r="B197">
        <v>4</v>
      </c>
      <c r="C197">
        <v>3.34</v>
      </c>
      <c r="D197">
        <v>3</v>
      </c>
      <c r="E197">
        <v>13</v>
      </c>
      <c r="F197">
        <v>12</v>
      </c>
      <c r="G197">
        <v>1</v>
      </c>
      <c r="H197">
        <v>4</v>
      </c>
      <c r="I197">
        <v>0</v>
      </c>
    </row>
    <row r="198" spans="1:9" x14ac:dyDescent="0.25">
      <c r="A198" s="18">
        <v>41837</v>
      </c>
      <c r="B198">
        <v>2</v>
      </c>
      <c r="C198">
        <v>3</v>
      </c>
      <c r="D198">
        <v>5</v>
      </c>
      <c r="E198">
        <v>25</v>
      </c>
      <c r="F198">
        <v>14</v>
      </c>
      <c r="G198">
        <v>1</v>
      </c>
      <c r="H198">
        <v>0</v>
      </c>
      <c r="I198">
        <v>1</v>
      </c>
    </row>
    <row r="199" spans="1:9" x14ac:dyDescent="0.25">
      <c r="A199" s="18">
        <v>41838</v>
      </c>
      <c r="B199">
        <v>9</v>
      </c>
      <c r="C199">
        <v>2.34</v>
      </c>
      <c r="D199">
        <v>1.5</v>
      </c>
      <c r="E199">
        <v>14.2</v>
      </c>
      <c r="F199">
        <v>6</v>
      </c>
      <c r="G199">
        <v>3</v>
      </c>
      <c r="H199">
        <v>0</v>
      </c>
      <c r="I199">
        <v>4</v>
      </c>
    </row>
    <row r="200" spans="1:9" x14ac:dyDescent="0.25">
      <c r="A200" s="18">
        <v>41839</v>
      </c>
      <c r="B200">
        <v>7.33</v>
      </c>
      <c r="C200">
        <v>7.02</v>
      </c>
      <c r="D200">
        <v>6</v>
      </c>
      <c r="E200">
        <v>8.4</v>
      </c>
      <c r="F200">
        <v>10</v>
      </c>
      <c r="G200">
        <v>0</v>
      </c>
      <c r="H200">
        <v>6</v>
      </c>
      <c r="I200">
        <v>6</v>
      </c>
    </row>
    <row r="201" spans="1:9" x14ac:dyDescent="0.25">
      <c r="A201" s="18">
        <v>41840</v>
      </c>
      <c r="B201">
        <v>3</v>
      </c>
      <c r="C201">
        <v>0.34</v>
      </c>
      <c r="D201">
        <v>1</v>
      </c>
      <c r="E201">
        <v>8</v>
      </c>
      <c r="F201">
        <v>5</v>
      </c>
      <c r="G201">
        <v>0</v>
      </c>
      <c r="H201">
        <v>0</v>
      </c>
      <c r="I201">
        <v>0.1</v>
      </c>
    </row>
    <row r="202" spans="1:9" x14ac:dyDescent="0.25">
      <c r="A202" s="18">
        <v>41841</v>
      </c>
      <c r="B202">
        <v>3</v>
      </c>
      <c r="C202">
        <v>4.68</v>
      </c>
      <c r="D202">
        <v>8</v>
      </c>
      <c r="E202">
        <v>20</v>
      </c>
      <c r="F202">
        <v>13</v>
      </c>
      <c r="G202">
        <v>1</v>
      </c>
      <c r="H202">
        <v>0</v>
      </c>
      <c r="I202">
        <v>2</v>
      </c>
    </row>
    <row r="203" spans="1:9" x14ac:dyDescent="0.25">
      <c r="A203" s="18">
        <v>41842</v>
      </c>
      <c r="B203">
        <v>5</v>
      </c>
      <c r="C203">
        <v>5.68</v>
      </c>
      <c r="D203">
        <v>3</v>
      </c>
      <c r="E203">
        <v>9</v>
      </c>
      <c r="F203">
        <v>7</v>
      </c>
      <c r="G203">
        <v>0</v>
      </c>
      <c r="H203">
        <v>1</v>
      </c>
      <c r="I203">
        <v>2</v>
      </c>
    </row>
    <row r="204" spans="1:9" x14ac:dyDescent="0.25">
      <c r="A204" s="18">
        <v>41843</v>
      </c>
      <c r="B204">
        <v>2.67</v>
      </c>
      <c r="C204">
        <v>6.37</v>
      </c>
      <c r="D204">
        <v>2</v>
      </c>
      <c r="E204">
        <v>8</v>
      </c>
      <c r="F204">
        <v>19</v>
      </c>
      <c r="G204">
        <v>0</v>
      </c>
      <c r="H204">
        <v>0</v>
      </c>
      <c r="I204">
        <v>3</v>
      </c>
    </row>
    <row r="205" spans="1:9" x14ac:dyDescent="0.25">
      <c r="A205" s="18">
        <v>41844</v>
      </c>
      <c r="B205">
        <v>5.34</v>
      </c>
      <c r="C205">
        <v>2</v>
      </c>
      <c r="D205">
        <v>4.4000000000000004</v>
      </c>
      <c r="E205">
        <v>23</v>
      </c>
      <c r="F205">
        <v>5</v>
      </c>
      <c r="G205">
        <v>0</v>
      </c>
      <c r="H205">
        <v>0</v>
      </c>
      <c r="I205">
        <v>2</v>
      </c>
    </row>
    <row r="206" spans="1:9" x14ac:dyDescent="0.25">
      <c r="A206" s="18">
        <v>41845</v>
      </c>
      <c r="B206">
        <v>5</v>
      </c>
      <c r="C206">
        <v>2.02</v>
      </c>
      <c r="D206">
        <v>7.5</v>
      </c>
      <c r="E206">
        <v>10</v>
      </c>
      <c r="F206">
        <v>15</v>
      </c>
      <c r="G206">
        <v>1</v>
      </c>
      <c r="H206">
        <v>1</v>
      </c>
      <c r="I206">
        <v>2</v>
      </c>
    </row>
    <row r="207" spans="1:9" x14ac:dyDescent="0.25">
      <c r="A207" s="18">
        <v>41846</v>
      </c>
      <c r="B207">
        <v>4</v>
      </c>
      <c r="C207">
        <v>6.68</v>
      </c>
      <c r="D207">
        <v>6.2</v>
      </c>
      <c r="E207">
        <v>36.200000000000003</v>
      </c>
      <c r="F207">
        <v>13</v>
      </c>
      <c r="G207">
        <v>0</v>
      </c>
      <c r="H207">
        <v>0</v>
      </c>
      <c r="I207">
        <v>4</v>
      </c>
    </row>
    <row r="208" spans="1:9" x14ac:dyDescent="0.25">
      <c r="A208" s="18">
        <v>41847</v>
      </c>
      <c r="B208">
        <v>3</v>
      </c>
      <c r="C208">
        <v>1.34</v>
      </c>
      <c r="D208">
        <v>2</v>
      </c>
      <c r="E208">
        <v>10</v>
      </c>
      <c r="F208">
        <v>5</v>
      </c>
      <c r="G208">
        <v>0</v>
      </c>
      <c r="H208">
        <v>6</v>
      </c>
      <c r="I208">
        <v>1</v>
      </c>
    </row>
    <row r="209" spans="1:9" x14ac:dyDescent="0.25">
      <c r="A209" s="18">
        <v>41848</v>
      </c>
      <c r="B209">
        <v>2</v>
      </c>
      <c r="C209">
        <v>1.34</v>
      </c>
      <c r="D209">
        <v>2</v>
      </c>
      <c r="E209">
        <v>9.1</v>
      </c>
      <c r="F209">
        <v>9</v>
      </c>
      <c r="G209">
        <v>0</v>
      </c>
      <c r="H209">
        <v>0</v>
      </c>
      <c r="I209">
        <v>2</v>
      </c>
    </row>
    <row r="210" spans="1:9" x14ac:dyDescent="0.25">
      <c r="A210" s="18">
        <v>41849</v>
      </c>
      <c r="B210">
        <v>2.34</v>
      </c>
      <c r="C210">
        <v>0.68</v>
      </c>
      <c r="D210">
        <v>1</v>
      </c>
      <c r="E210">
        <v>13</v>
      </c>
      <c r="F210">
        <v>15</v>
      </c>
      <c r="G210">
        <v>3</v>
      </c>
      <c r="H210">
        <v>0</v>
      </c>
      <c r="I210">
        <v>5</v>
      </c>
    </row>
    <row r="211" spans="1:9" x14ac:dyDescent="0.25">
      <c r="A211" s="18">
        <v>41850</v>
      </c>
      <c r="B211">
        <v>0.68</v>
      </c>
      <c r="C211">
        <v>1.34</v>
      </c>
      <c r="D211">
        <v>5</v>
      </c>
      <c r="E211">
        <v>13.5</v>
      </c>
      <c r="F211">
        <v>14</v>
      </c>
      <c r="G211">
        <v>0</v>
      </c>
      <c r="H211">
        <v>6</v>
      </c>
      <c r="I211">
        <v>4.5</v>
      </c>
    </row>
    <row r="212" spans="1:9" x14ac:dyDescent="0.25">
      <c r="A212" s="18">
        <v>41851</v>
      </c>
      <c r="B212">
        <v>3</v>
      </c>
      <c r="C212">
        <v>0.34</v>
      </c>
      <c r="D212">
        <v>4</v>
      </c>
      <c r="E212">
        <v>10.5</v>
      </c>
      <c r="F212">
        <v>8</v>
      </c>
      <c r="G212">
        <v>0</v>
      </c>
      <c r="H212">
        <v>0</v>
      </c>
      <c r="I212">
        <v>1</v>
      </c>
    </row>
    <row r="213" spans="1:9" x14ac:dyDescent="0.25">
      <c r="A213" s="18">
        <v>41852</v>
      </c>
      <c r="B213">
        <v>2</v>
      </c>
      <c r="C213">
        <v>1</v>
      </c>
      <c r="D213">
        <v>2.2000000000000002</v>
      </c>
      <c r="E213">
        <v>14</v>
      </c>
      <c r="F213">
        <v>17</v>
      </c>
      <c r="G213">
        <v>1</v>
      </c>
      <c r="H213">
        <v>0</v>
      </c>
      <c r="I213">
        <v>1</v>
      </c>
    </row>
    <row r="214" spans="1:9" x14ac:dyDescent="0.25">
      <c r="A214" s="18">
        <v>41853</v>
      </c>
      <c r="B214">
        <v>5</v>
      </c>
      <c r="C214">
        <v>2.0099999999999998</v>
      </c>
      <c r="D214">
        <v>6</v>
      </c>
      <c r="E214">
        <v>29</v>
      </c>
      <c r="F214">
        <v>12</v>
      </c>
      <c r="G214">
        <v>0</v>
      </c>
      <c r="H214">
        <v>5</v>
      </c>
      <c r="I214">
        <v>3</v>
      </c>
    </row>
    <row r="215" spans="1:9" x14ac:dyDescent="0.25">
      <c r="A215" s="18">
        <v>41854</v>
      </c>
      <c r="B215">
        <v>5</v>
      </c>
      <c r="C215">
        <v>1</v>
      </c>
      <c r="D215">
        <v>3</v>
      </c>
      <c r="E215">
        <v>6</v>
      </c>
      <c r="F215">
        <v>5</v>
      </c>
      <c r="G215">
        <v>5</v>
      </c>
      <c r="H215">
        <v>0</v>
      </c>
      <c r="I215">
        <v>0</v>
      </c>
    </row>
    <row r="216" spans="1:9" x14ac:dyDescent="0.25">
      <c r="A216" s="18">
        <v>41855</v>
      </c>
      <c r="B216">
        <v>4</v>
      </c>
      <c r="C216">
        <v>5.0199999999999996</v>
      </c>
      <c r="D216">
        <v>6</v>
      </c>
      <c r="E216">
        <v>21.5</v>
      </c>
      <c r="F216">
        <v>14</v>
      </c>
      <c r="G216">
        <v>0</v>
      </c>
      <c r="H216">
        <v>0</v>
      </c>
      <c r="I216">
        <v>4</v>
      </c>
    </row>
    <row r="217" spans="1:9" x14ac:dyDescent="0.25">
      <c r="A217" s="18">
        <v>41856</v>
      </c>
      <c r="B217">
        <v>2</v>
      </c>
      <c r="C217">
        <v>1.34</v>
      </c>
      <c r="D217">
        <v>3</v>
      </c>
      <c r="E217">
        <v>17.100000000000001</v>
      </c>
      <c r="F217">
        <v>9</v>
      </c>
      <c r="G217">
        <v>0</v>
      </c>
      <c r="H217">
        <v>0</v>
      </c>
      <c r="I217">
        <v>0</v>
      </c>
    </row>
    <row r="218" spans="1:9" x14ac:dyDescent="0.25">
      <c r="A218" s="18">
        <v>41857</v>
      </c>
      <c r="B218">
        <v>6</v>
      </c>
      <c r="C218">
        <v>5</v>
      </c>
      <c r="D218">
        <v>1.4</v>
      </c>
      <c r="E218">
        <v>17</v>
      </c>
      <c r="F218">
        <v>7</v>
      </c>
      <c r="G218">
        <v>1</v>
      </c>
      <c r="H218">
        <v>1</v>
      </c>
      <c r="I218">
        <v>1</v>
      </c>
    </row>
    <row r="219" spans="1:9" x14ac:dyDescent="0.25">
      <c r="A219" s="18">
        <v>41858</v>
      </c>
      <c r="B219">
        <v>3.34</v>
      </c>
      <c r="C219">
        <v>2.68</v>
      </c>
      <c r="D219">
        <v>3</v>
      </c>
      <c r="E219">
        <v>33</v>
      </c>
      <c r="F219">
        <v>13</v>
      </c>
      <c r="G219">
        <v>1</v>
      </c>
      <c r="H219">
        <v>0</v>
      </c>
      <c r="I219">
        <v>2</v>
      </c>
    </row>
    <row r="220" spans="1:9" x14ac:dyDescent="0.25">
      <c r="A220" s="18">
        <v>41859</v>
      </c>
      <c r="B220">
        <v>5.0199999999999996</v>
      </c>
      <c r="C220">
        <v>4.0199999999999996</v>
      </c>
      <c r="D220">
        <v>5</v>
      </c>
      <c r="E220">
        <v>13</v>
      </c>
      <c r="F220">
        <v>12</v>
      </c>
      <c r="G220">
        <v>3</v>
      </c>
      <c r="H220">
        <v>2</v>
      </c>
      <c r="I220">
        <v>2</v>
      </c>
    </row>
    <row r="221" spans="1:9" x14ac:dyDescent="0.25">
      <c r="A221" s="18">
        <v>41860</v>
      </c>
      <c r="B221">
        <v>4</v>
      </c>
      <c r="C221">
        <v>1.34</v>
      </c>
      <c r="D221">
        <v>6</v>
      </c>
      <c r="E221">
        <v>19</v>
      </c>
      <c r="F221">
        <v>24</v>
      </c>
      <c r="G221">
        <v>3</v>
      </c>
      <c r="H221">
        <v>0</v>
      </c>
      <c r="I221">
        <v>5.9</v>
      </c>
    </row>
    <row r="222" spans="1:9" x14ac:dyDescent="0.25">
      <c r="A222" s="18">
        <v>41861</v>
      </c>
      <c r="B222">
        <v>4</v>
      </c>
      <c r="C222">
        <v>0.34</v>
      </c>
      <c r="D222">
        <v>4</v>
      </c>
      <c r="E222">
        <v>3</v>
      </c>
      <c r="F222">
        <v>4</v>
      </c>
      <c r="G222">
        <v>0</v>
      </c>
      <c r="H222">
        <v>0</v>
      </c>
      <c r="I222">
        <v>2</v>
      </c>
    </row>
    <row r="223" spans="1:9" x14ac:dyDescent="0.25">
      <c r="A223" s="18">
        <v>41862</v>
      </c>
      <c r="B223">
        <v>8</v>
      </c>
      <c r="C223">
        <v>5.36</v>
      </c>
      <c r="D223">
        <v>9.1999999999999993</v>
      </c>
      <c r="E223">
        <v>20</v>
      </c>
      <c r="F223">
        <v>18</v>
      </c>
      <c r="G223">
        <v>0</v>
      </c>
      <c r="H223">
        <v>0</v>
      </c>
      <c r="I223">
        <v>2</v>
      </c>
    </row>
    <row r="224" spans="1:9" x14ac:dyDescent="0.25">
      <c r="A224" s="18">
        <v>41863</v>
      </c>
      <c r="B224">
        <v>0</v>
      </c>
      <c r="C224">
        <v>1.36</v>
      </c>
      <c r="D224">
        <v>4.5</v>
      </c>
      <c r="E224">
        <v>10</v>
      </c>
      <c r="F224">
        <v>8</v>
      </c>
      <c r="G224">
        <v>1</v>
      </c>
      <c r="H224">
        <v>0</v>
      </c>
      <c r="I224">
        <v>4.5999999999999996</v>
      </c>
    </row>
    <row r="225" spans="1:9" x14ac:dyDescent="0.25">
      <c r="A225" s="18">
        <v>41864</v>
      </c>
      <c r="B225">
        <v>1.34</v>
      </c>
      <c r="C225">
        <v>3.34</v>
      </c>
      <c r="D225">
        <v>1</v>
      </c>
      <c r="E225">
        <v>20.3</v>
      </c>
      <c r="F225">
        <v>11</v>
      </c>
      <c r="G225">
        <v>0</v>
      </c>
      <c r="H225">
        <v>0</v>
      </c>
      <c r="I225">
        <v>7</v>
      </c>
    </row>
    <row r="226" spans="1:9" x14ac:dyDescent="0.25">
      <c r="A226" s="18">
        <v>41865</v>
      </c>
      <c r="B226">
        <v>4</v>
      </c>
      <c r="C226">
        <v>2.34</v>
      </c>
      <c r="D226">
        <v>6</v>
      </c>
      <c r="E226">
        <v>14.4</v>
      </c>
      <c r="F226">
        <v>13</v>
      </c>
      <c r="G226">
        <v>0</v>
      </c>
      <c r="H226">
        <v>0</v>
      </c>
      <c r="I226">
        <v>6</v>
      </c>
    </row>
    <row r="227" spans="1:9" x14ac:dyDescent="0.25">
      <c r="A227" s="18">
        <v>41866</v>
      </c>
      <c r="B227">
        <v>4.34</v>
      </c>
      <c r="C227">
        <v>4.0199999999999996</v>
      </c>
      <c r="D227">
        <v>7</v>
      </c>
      <c r="E227">
        <v>13.2</v>
      </c>
      <c r="F227">
        <v>15</v>
      </c>
      <c r="G227">
        <v>2</v>
      </c>
      <c r="H227">
        <v>3</v>
      </c>
      <c r="I227">
        <v>2</v>
      </c>
    </row>
    <row r="228" spans="1:9" x14ac:dyDescent="0.25">
      <c r="A228" s="18">
        <v>41867</v>
      </c>
      <c r="B228">
        <v>8</v>
      </c>
      <c r="C228">
        <v>2.4300000000000002</v>
      </c>
      <c r="D228">
        <v>5</v>
      </c>
      <c r="E228">
        <v>19</v>
      </c>
      <c r="F228">
        <v>27</v>
      </c>
      <c r="G228">
        <v>2</v>
      </c>
      <c r="H228">
        <v>0</v>
      </c>
      <c r="I228">
        <v>1</v>
      </c>
    </row>
    <row r="229" spans="1:9" x14ac:dyDescent="0.25">
      <c r="A229" s="18">
        <v>41868</v>
      </c>
      <c r="B229">
        <v>0.34</v>
      </c>
      <c r="C229">
        <v>0.68</v>
      </c>
      <c r="D229">
        <v>2</v>
      </c>
      <c r="E229">
        <v>6.5</v>
      </c>
      <c r="F229">
        <v>7</v>
      </c>
      <c r="G229">
        <v>0</v>
      </c>
      <c r="H229">
        <v>0</v>
      </c>
      <c r="I229">
        <v>1</v>
      </c>
    </row>
    <row r="230" spans="1:9" x14ac:dyDescent="0.25">
      <c r="A230" s="18">
        <v>41869</v>
      </c>
      <c r="B230">
        <v>4.34</v>
      </c>
      <c r="C230">
        <v>6</v>
      </c>
      <c r="D230">
        <v>3.1</v>
      </c>
      <c r="E230">
        <v>16.5</v>
      </c>
      <c r="F230">
        <v>21</v>
      </c>
      <c r="G230">
        <v>3</v>
      </c>
      <c r="H230">
        <v>10</v>
      </c>
      <c r="I230">
        <v>2</v>
      </c>
    </row>
    <row r="231" spans="1:9" x14ac:dyDescent="0.25">
      <c r="A231" s="18">
        <v>41870</v>
      </c>
      <c r="B231">
        <v>11.34</v>
      </c>
      <c r="C231">
        <v>6.35</v>
      </c>
      <c r="D231">
        <v>5</v>
      </c>
      <c r="E231">
        <v>16.100000000000001</v>
      </c>
      <c r="F231">
        <v>13</v>
      </c>
      <c r="G231">
        <v>1</v>
      </c>
      <c r="H231">
        <v>3</v>
      </c>
      <c r="I231">
        <v>1.1000000000000001</v>
      </c>
    </row>
    <row r="232" spans="1:9" x14ac:dyDescent="0.25">
      <c r="A232" s="18">
        <v>41871</v>
      </c>
      <c r="B232">
        <v>5.34</v>
      </c>
      <c r="C232">
        <v>5.34</v>
      </c>
      <c r="D232">
        <v>1.4</v>
      </c>
      <c r="E232">
        <v>9</v>
      </c>
      <c r="F232">
        <v>10</v>
      </c>
      <c r="G232">
        <v>2</v>
      </c>
      <c r="H232">
        <v>0</v>
      </c>
      <c r="I232">
        <v>1</v>
      </c>
    </row>
    <row r="233" spans="1:9" x14ac:dyDescent="0.25">
      <c r="A233" s="18">
        <v>41872</v>
      </c>
      <c r="B233">
        <v>3</v>
      </c>
      <c r="C233">
        <v>1</v>
      </c>
      <c r="D233">
        <v>2</v>
      </c>
      <c r="E233">
        <v>18</v>
      </c>
      <c r="F233">
        <v>16</v>
      </c>
      <c r="G233">
        <v>1</v>
      </c>
      <c r="H233">
        <v>0</v>
      </c>
      <c r="I233">
        <v>2.2000000000000002</v>
      </c>
    </row>
    <row r="234" spans="1:9" x14ac:dyDescent="0.25">
      <c r="A234" s="18">
        <v>41873</v>
      </c>
      <c r="B234">
        <v>6.34</v>
      </c>
      <c r="C234">
        <v>1.34</v>
      </c>
      <c r="D234">
        <v>5</v>
      </c>
      <c r="E234">
        <v>19</v>
      </c>
      <c r="F234">
        <v>15</v>
      </c>
      <c r="G234">
        <v>0</v>
      </c>
      <c r="H234">
        <v>0</v>
      </c>
      <c r="I234">
        <v>1</v>
      </c>
    </row>
    <row r="235" spans="1:9" x14ac:dyDescent="0.25">
      <c r="A235" s="18">
        <v>41874</v>
      </c>
      <c r="B235">
        <v>3</v>
      </c>
      <c r="C235">
        <v>3.02</v>
      </c>
      <c r="D235">
        <v>1</v>
      </c>
      <c r="E235">
        <v>25.6</v>
      </c>
      <c r="F235">
        <v>5</v>
      </c>
      <c r="G235">
        <v>0</v>
      </c>
      <c r="H235">
        <v>0</v>
      </c>
      <c r="I235">
        <v>4</v>
      </c>
    </row>
    <row r="236" spans="1:9" x14ac:dyDescent="0.25">
      <c r="A236" s="18">
        <v>41875</v>
      </c>
      <c r="B236">
        <v>3</v>
      </c>
      <c r="C236">
        <v>2.1749999999999998</v>
      </c>
      <c r="D236">
        <v>3</v>
      </c>
      <c r="E236">
        <v>7</v>
      </c>
      <c r="F236">
        <v>12</v>
      </c>
      <c r="G236">
        <v>0</v>
      </c>
      <c r="H236">
        <v>1</v>
      </c>
      <c r="I236">
        <v>0</v>
      </c>
    </row>
    <row r="237" spans="1:9" x14ac:dyDescent="0.25">
      <c r="A237" s="18">
        <v>41876</v>
      </c>
      <c r="B237">
        <v>4.01</v>
      </c>
      <c r="C237">
        <v>3.1749999999999998</v>
      </c>
      <c r="D237">
        <v>3</v>
      </c>
      <c r="E237">
        <v>21.2</v>
      </c>
      <c r="F237">
        <v>21</v>
      </c>
      <c r="G237">
        <v>0</v>
      </c>
      <c r="H237">
        <v>0</v>
      </c>
      <c r="I237">
        <v>0</v>
      </c>
    </row>
    <row r="238" spans="1:9" x14ac:dyDescent="0.25">
      <c r="A238" s="18">
        <v>41877</v>
      </c>
      <c r="B238">
        <v>2.34</v>
      </c>
      <c r="C238">
        <v>5.34</v>
      </c>
      <c r="D238">
        <v>3</v>
      </c>
      <c r="E238">
        <v>31</v>
      </c>
      <c r="F238">
        <v>14</v>
      </c>
      <c r="G238">
        <v>1</v>
      </c>
      <c r="H238">
        <v>1</v>
      </c>
      <c r="I238">
        <v>3</v>
      </c>
    </row>
    <row r="239" spans="1:9" x14ac:dyDescent="0.25">
      <c r="A239" s="18">
        <v>41878</v>
      </c>
      <c r="B239">
        <v>3.34</v>
      </c>
      <c r="C239">
        <v>8.02</v>
      </c>
      <c r="D239">
        <v>4</v>
      </c>
      <c r="E239">
        <v>21</v>
      </c>
      <c r="F239">
        <v>14</v>
      </c>
      <c r="G239">
        <v>0</v>
      </c>
      <c r="H239">
        <v>0</v>
      </c>
      <c r="I239">
        <v>3</v>
      </c>
    </row>
    <row r="240" spans="1:9" x14ac:dyDescent="0.25">
      <c r="A240" s="18">
        <v>41879</v>
      </c>
      <c r="B240">
        <v>2.34</v>
      </c>
      <c r="C240">
        <v>5.36</v>
      </c>
      <c r="D240">
        <v>6</v>
      </c>
      <c r="E240">
        <v>32.67</v>
      </c>
      <c r="F240">
        <v>19</v>
      </c>
      <c r="G240">
        <v>0</v>
      </c>
      <c r="H240">
        <v>4</v>
      </c>
      <c r="I240">
        <v>0</v>
      </c>
    </row>
    <row r="241" spans="1:9" x14ac:dyDescent="0.25">
      <c r="A241" s="18">
        <v>41880</v>
      </c>
      <c r="B241">
        <v>6.34</v>
      </c>
      <c r="C241">
        <v>3.68</v>
      </c>
      <c r="D241">
        <v>5</v>
      </c>
      <c r="E241">
        <v>26.28</v>
      </c>
      <c r="F241">
        <v>18</v>
      </c>
      <c r="G241">
        <v>1</v>
      </c>
      <c r="H241">
        <v>0</v>
      </c>
      <c r="I241">
        <v>3</v>
      </c>
    </row>
    <row r="242" spans="1:9" x14ac:dyDescent="0.25">
      <c r="A242" s="18">
        <v>41881</v>
      </c>
      <c r="B242">
        <v>3.68</v>
      </c>
      <c r="C242">
        <v>3.02</v>
      </c>
      <c r="D242">
        <v>7</v>
      </c>
      <c r="E242">
        <v>13</v>
      </c>
      <c r="F242">
        <v>13</v>
      </c>
      <c r="G242">
        <v>1</v>
      </c>
      <c r="H242">
        <v>0</v>
      </c>
      <c r="I242">
        <v>4</v>
      </c>
    </row>
    <row r="243" spans="1:9" x14ac:dyDescent="0.25">
      <c r="A243" s="18">
        <v>41882</v>
      </c>
      <c r="B243">
        <v>0</v>
      </c>
      <c r="C243">
        <v>2.68</v>
      </c>
      <c r="D243">
        <v>1</v>
      </c>
      <c r="E243">
        <v>15</v>
      </c>
      <c r="F243">
        <v>13</v>
      </c>
      <c r="G243">
        <v>0</v>
      </c>
      <c r="H243">
        <v>7</v>
      </c>
      <c r="I243">
        <v>2</v>
      </c>
    </row>
    <row r="244" spans="1:9" x14ac:dyDescent="0.25">
      <c r="A244" s="18">
        <v>41883</v>
      </c>
      <c r="B244">
        <v>3.34</v>
      </c>
      <c r="C244">
        <v>1.7150000000000001</v>
      </c>
      <c r="D244">
        <v>1</v>
      </c>
      <c r="E244">
        <v>15.5</v>
      </c>
      <c r="F244">
        <v>15</v>
      </c>
      <c r="G244">
        <v>0</v>
      </c>
      <c r="H244">
        <v>0</v>
      </c>
      <c r="I244">
        <v>5.5</v>
      </c>
    </row>
    <row r="245" spans="1:9" x14ac:dyDescent="0.25">
      <c r="A245" s="18">
        <v>41884</v>
      </c>
      <c r="B245">
        <v>2.34</v>
      </c>
      <c r="C245">
        <v>4.68</v>
      </c>
      <c r="D245">
        <v>5.2</v>
      </c>
      <c r="E245">
        <v>20.14</v>
      </c>
      <c r="F245">
        <v>7</v>
      </c>
      <c r="G245">
        <v>0</v>
      </c>
      <c r="H245">
        <v>2</v>
      </c>
      <c r="I245">
        <v>3</v>
      </c>
    </row>
    <row r="246" spans="1:9" x14ac:dyDescent="0.25">
      <c r="A246" s="18">
        <v>41885</v>
      </c>
      <c r="B246">
        <v>7</v>
      </c>
      <c r="C246">
        <v>6.34</v>
      </c>
      <c r="D246">
        <v>4</v>
      </c>
      <c r="E246">
        <v>22.18</v>
      </c>
      <c r="F246">
        <v>12</v>
      </c>
      <c r="G246">
        <v>0</v>
      </c>
      <c r="H246">
        <v>2</v>
      </c>
      <c r="I246">
        <v>3</v>
      </c>
    </row>
    <row r="247" spans="1:9" x14ac:dyDescent="0.25">
      <c r="A247" s="18">
        <v>41886</v>
      </c>
      <c r="B247">
        <v>5.68</v>
      </c>
      <c r="C247">
        <v>5.34</v>
      </c>
      <c r="D247">
        <v>3</v>
      </c>
      <c r="E247">
        <v>17.600000000000001</v>
      </c>
      <c r="F247">
        <v>21</v>
      </c>
      <c r="G247">
        <v>1</v>
      </c>
      <c r="H247">
        <v>0</v>
      </c>
      <c r="I247">
        <v>1</v>
      </c>
    </row>
    <row r="248" spans="1:9" x14ac:dyDescent="0.25">
      <c r="A248" s="18">
        <v>41887</v>
      </c>
      <c r="B248">
        <v>4</v>
      </c>
      <c r="C248">
        <v>0.77900000000000003</v>
      </c>
      <c r="D248">
        <v>3</v>
      </c>
      <c r="E248">
        <v>15.6</v>
      </c>
      <c r="F248">
        <v>15</v>
      </c>
      <c r="G248">
        <v>2</v>
      </c>
      <c r="H248">
        <v>0</v>
      </c>
      <c r="I248">
        <v>2</v>
      </c>
    </row>
    <row r="249" spans="1:9" x14ac:dyDescent="0.25">
      <c r="A249" s="18">
        <v>41888</v>
      </c>
      <c r="B249">
        <v>5.34</v>
      </c>
      <c r="C249">
        <v>5</v>
      </c>
      <c r="D249">
        <v>2.4</v>
      </c>
      <c r="E249">
        <v>15.7</v>
      </c>
      <c r="F249">
        <v>30</v>
      </c>
      <c r="G249">
        <v>2</v>
      </c>
      <c r="H249">
        <v>5</v>
      </c>
      <c r="I249">
        <v>3.1</v>
      </c>
    </row>
    <row r="250" spans="1:9" x14ac:dyDescent="0.25">
      <c r="A250" s="18">
        <v>41889</v>
      </c>
      <c r="B250">
        <v>2</v>
      </c>
      <c r="C250">
        <v>5.5149999999999997</v>
      </c>
      <c r="D250">
        <v>5</v>
      </c>
      <c r="E250">
        <v>7</v>
      </c>
      <c r="F250">
        <v>9</v>
      </c>
      <c r="G250">
        <v>0</v>
      </c>
      <c r="H250">
        <v>0</v>
      </c>
      <c r="I250">
        <v>1</v>
      </c>
    </row>
    <row r="251" spans="1:9" x14ac:dyDescent="0.25">
      <c r="A251" s="18">
        <v>41890</v>
      </c>
      <c r="B251">
        <v>1</v>
      </c>
      <c r="C251">
        <v>5.36</v>
      </c>
      <c r="D251">
        <v>3.5</v>
      </c>
      <c r="E251">
        <v>20.8</v>
      </c>
      <c r="F251">
        <v>15</v>
      </c>
      <c r="G251">
        <v>0</v>
      </c>
      <c r="H251">
        <v>1</v>
      </c>
      <c r="I251">
        <v>4</v>
      </c>
    </row>
    <row r="252" spans="1:9" x14ac:dyDescent="0.25">
      <c r="A252" s="18">
        <v>41891</v>
      </c>
      <c r="B252">
        <v>6.34</v>
      </c>
      <c r="C252">
        <v>2.34</v>
      </c>
      <c r="D252">
        <v>4</v>
      </c>
      <c r="E252">
        <v>29.2</v>
      </c>
      <c r="F252">
        <v>17</v>
      </c>
      <c r="G252">
        <v>0</v>
      </c>
      <c r="H252">
        <v>2</v>
      </c>
      <c r="I252">
        <v>1.2</v>
      </c>
    </row>
    <row r="253" spans="1:9" x14ac:dyDescent="0.25">
      <c r="A253" s="18">
        <v>41892</v>
      </c>
      <c r="B253">
        <v>4.34</v>
      </c>
      <c r="C253">
        <v>3.34</v>
      </c>
      <c r="D253">
        <v>3.5</v>
      </c>
      <c r="E253">
        <v>37.799999999999997</v>
      </c>
      <c r="F253">
        <v>12</v>
      </c>
      <c r="G253">
        <v>0</v>
      </c>
      <c r="H253">
        <v>0</v>
      </c>
      <c r="I253">
        <v>1</v>
      </c>
    </row>
    <row r="254" spans="1:9" x14ac:dyDescent="0.25">
      <c r="A254" s="18">
        <v>41893</v>
      </c>
      <c r="B254">
        <v>0</v>
      </c>
      <c r="C254">
        <v>1.34</v>
      </c>
      <c r="D254">
        <v>4</v>
      </c>
      <c r="E254">
        <v>32.200000000000003</v>
      </c>
      <c r="F254">
        <v>15</v>
      </c>
      <c r="G254">
        <v>0</v>
      </c>
      <c r="H254">
        <v>10</v>
      </c>
      <c r="I254">
        <v>0</v>
      </c>
    </row>
    <row r="255" spans="1:9" x14ac:dyDescent="0.25">
      <c r="A255" s="18">
        <v>41894</v>
      </c>
      <c r="B255">
        <v>2.68</v>
      </c>
      <c r="C255">
        <v>2.67</v>
      </c>
      <c r="D255">
        <v>1</v>
      </c>
      <c r="E255">
        <v>20</v>
      </c>
      <c r="F255">
        <v>19</v>
      </c>
      <c r="G255">
        <v>0</v>
      </c>
      <c r="H255">
        <v>8</v>
      </c>
      <c r="I255">
        <v>1</v>
      </c>
    </row>
    <row r="256" spans="1:9" x14ac:dyDescent="0.25">
      <c r="A256" s="18">
        <v>41895</v>
      </c>
      <c r="B256">
        <v>3</v>
      </c>
      <c r="C256">
        <v>5.36</v>
      </c>
      <c r="D256">
        <v>4.4000000000000004</v>
      </c>
      <c r="E256">
        <v>56.85</v>
      </c>
      <c r="F256">
        <v>20</v>
      </c>
      <c r="G256">
        <v>0</v>
      </c>
      <c r="H256">
        <v>1</v>
      </c>
      <c r="I256">
        <v>3</v>
      </c>
    </row>
    <row r="257" spans="1:9" x14ac:dyDescent="0.25">
      <c r="A257" s="18">
        <v>41896</v>
      </c>
      <c r="B257">
        <v>1.34</v>
      </c>
      <c r="C257">
        <v>2</v>
      </c>
      <c r="D257">
        <v>2</v>
      </c>
      <c r="E257">
        <v>19.5</v>
      </c>
      <c r="F257">
        <v>6</v>
      </c>
      <c r="G257">
        <v>0</v>
      </c>
      <c r="H257">
        <v>6</v>
      </c>
      <c r="I257">
        <v>0</v>
      </c>
    </row>
    <row r="258" spans="1:9" x14ac:dyDescent="0.25">
      <c r="A258" s="18">
        <v>41897</v>
      </c>
      <c r="B258">
        <v>1.34</v>
      </c>
      <c r="C258">
        <v>3</v>
      </c>
      <c r="D258">
        <v>5.4</v>
      </c>
      <c r="E258">
        <v>28.2</v>
      </c>
      <c r="F258">
        <v>9</v>
      </c>
      <c r="G258">
        <v>0</v>
      </c>
      <c r="H258">
        <v>1</v>
      </c>
      <c r="I258">
        <v>0</v>
      </c>
    </row>
    <row r="259" spans="1:9" x14ac:dyDescent="0.25">
      <c r="A259" s="18">
        <v>41898</v>
      </c>
      <c r="B259">
        <v>4</v>
      </c>
      <c r="C259">
        <v>2.68</v>
      </c>
      <c r="D259">
        <v>0</v>
      </c>
      <c r="E259">
        <v>59.3</v>
      </c>
      <c r="F259">
        <v>13</v>
      </c>
      <c r="G259">
        <v>0</v>
      </c>
      <c r="H259">
        <v>0</v>
      </c>
      <c r="I259">
        <v>0</v>
      </c>
    </row>
    <row r="260" spans="1:9" x14ac:dyDescent="0.25">
      <c r="A260" s="18">
        <v>41899</v>
      </c>
      <c r="B260">
        <v>2.34</v>
      </c>
      <c r="C260">
        <v>6</v>
      </c>
      <c r="D260">
        <v>4</v>
      </c>
      <c r="E260">
        <v>39.6</v>
      </c>
      <c r="F260">
        <v>11</v>
      </c>
      <c r="G260">
        <v>2</v>
      </c>
      <c r="H260">
        <v>19</v>
      </c>
      <c r="I260">
        <v>4</v>
      </c>
    </row>
    <row r="261" spans="1:9" x14ac:dyDescent="0.25">
      <c r="A261" s="18">
        <v>41900</v>
      </c>
      <c r="B261">
        <v>3</v>
      </c>
      <c r="C261">
        <v>2.02</v>
      </c>
      <c r="D261">
        <v>1</v>
      </c>
      <c r="E261">
        <v>44</v>
      </c>
      <c r="F261">
        <v>7</v>
      </c>
      <c r="G261">
        <v>0</v>
      </c>
      <c r="H261">
        <v>0</v>
      </c>
      <c r="I261">
        <v>1</v>
      </c>
    </row>
    <row r="262" spans="1:9" x14ac:dyDescent="0.25">
      <c r="A262" s="18">
        <v>41901</v>
      </c>
      <c r="B262">
        <v>2</v>
      </c>
      <c r="C262">
        <v>4.34</v>
      </c>
      <c r="D262">
        <v>7.8</v>
      </c>
      <c r="E262">
        <v>23</v>
      </c>
      <c r="F262">
        <v>8</v>
      </c>
      <c r="G262">
        <v>0</v>
      </c>
      <c r="H262">
        <v>22</v>
      </c>
      <c r="I262">
        <v>0</v>
      </c>
    </row>
    <row r="263" spans="1:9" x14ac:dyDescent="0.25">
      <c r="A263" s="18">
        <v>41902</v>
      </c>
      <c r="B263">
        <v>4.34</v>
      </c>
      <c r="C263">
        <v>1.855</v>
      </c>
      <c r="D263">
        <v>4.5</v>
      </c>
      <c r="E263">
        <v>20.6</v>
      </c>
      <c r="F263">
        <v>14</v>
      </c>
      <c r="G263">
        <v>1</v>
      </c>
      <c r="H263">
        <v>2</v>
      </c>
      <c r="I263">
        <v>0</v>
      </c>
    </row>
    <row r="264" spans="1:9" x14ac:dyDescent="0.25">
      <c r="A264" s="18">
        <v>41903</v>
      </c>
      <c r="B264">
        <v>1</v>
      </c>
      <c r="C264">
        <v>3.02</v>
      </c>
      <c r="D264">
        <v>6</v>
      </c>
      <c r="E264">
        <v>12.4</v>
      </c>
      <c r="F264">
        <v>7</v>
      </c>
      <c r="G264">
        <v>0</v>
      </c>
      <c r="H264">
        <v>0</v>
      </c>
      <c r="I264">
        <v>3</v>
      </c>
    </row>
    <row r="265" spans="1:9" x14ac:dyDescent="0.25">
      <c r="A265" s="18">
        <v>41904</v>
      </c>
      <c r="B265">
        <v>3.34</v>
      </c>
      <c r="C265">
        <v>4</v>
      </c>
      <c r="D265">
        <v>5.5</v>
      </c>
      <c r="E265">
        <v>34.200000000000003</v>
      </c>
      <c r="F265">
        <v>10</v>
      </c>
      <c r="G265">
        <v>1</v>
      </c>
      <c r="H265">
        <v>0</v>
      </c>
      <c r="I265">
        <v>2</v>
      </c>
    </row>
    <row r="266" spans="1:9" x14ac:dyDescent="0.25">
      <c r="A266" s="18">
        <v>41905</v>
      </c>
      <c r="B266">
        <v>3</v>
      </c>
      <c r="C266">
        <v>3.34</v>
      </c>
      <c r="D266">
        <v>5.5</v>
      </c>
      <c r="E266">
        <v>26</v>
      </c>
      <c r="F266">
        <v>10</v>
      </c>
      <c r="G266">
        <v>0</v>
      </c>
      <c r="H266">
        <v>1</v>
      </c>
      <c r="I266">
        <v>2</v>
      </c>
    </row>
    <row r="267" spans="1:9" x14ac:dyDescent="0.25">
      <c r="A267" s="18">
        <v>41906</v>
      </c>
      <c r="B267">
        <v>6</v>
      </c>
      <c r="C267">
        <v>3.34</v>
      </c>
      <c r="D267">
        <v>1.4</v>
      </c>
      <c r="E267">
        <v>24.7</v>
      </c>
      <c r="F267">
        <v>14</v>
      </c>
      <c r="G267">
        <v>0</v>
      </c>
      <c r="H267">
        <v>0</v>
      </c>
      <c r="I267">
        <v>0</v>
      </c>
    </row>
    <row r="268" spans="1:9" x14ac:dyDescent="0.25">
      <c r="A268" s="18">
        <v>41907</v>
      </c>
      <c r="B268">
        <v>4.68</v>
      </c>
      <c r="C268">
        <v>6.34</v>
      </c>
      <c r="D268">
        <v>8.1999999999999993</v>
      </c>
      <c r="E268">
        <v>49.15</v>
      </c>
      <c r="F268">
        <v>15</v>
      </c>
      <c r="G268">
        <v>1</v>
      </c>
      <c r="H268">
        <v>1</v>
      </c>
      <c r="I268">
        <v>5</v>
      </c>
    </row>
    <row r="269" spans="1:9" x14ac:dyDescent="0.25">
      <c r="A269" s="18">
        <v>41908</v>
      </c>
      <c r="B269">
        <v>4</v>
      </c>
      <c r="C269">
        <v>3.68</v>
      </c>
      <c r="D269">
        <v>3.5</v>
      </c>
      <c r="E269">
        <v>38</v>
      </c>
      <c r="F269">
        <v>22</v>
      </c>
      <c r="G269">
        <v>2</v>
      </c>
      <c r="H269">
        <v>0</v>
      </c>
      <c r="I269">
        <v>1</v>
      </c>
    </row>
    <row r="270" spans="1:9" x14ac:dyDescent="0.25">
      <c r="A270" s="18">
        <v>41909</v>
      </c>
      <c r="B270">
        <v>4</v>
      </c>
      <c r="C270">
        <v>2</v>
      </c>
      <c r="D270">
        <v>6</v>
      </c>
      <c r="E270">
        <v>46.3</v>
      </c>
      <c r="F270">
        <v>18</v>
      </c>
      <c r="G270">
        <v>0</v>
      </c>
      <c r="H270">
        <v>0</v>
      </c>
      <c r="I270">
        <v>4</v>
      </c>
    </row>
    <row r="271" spans="1:9" x14ac:dyDescent="0.25">
      <c r="A271" s="18">
        <v>41910</v>
      </c>
      <c r="B271">
        <v>0.34</v>
      </c>
      <c r="C271">
        <v>2.68</v>
      </c>
      <c r="D271">
        <v>1</v>
      </c>
      <c r="E271">
        <v>21.2</v>
      </c>
      <c r="F271">
        <v>6</v>
      </c>
      <c r="G271">
        <v>0</v>
      </c>
      <c r="H271">
        <v>0</v>
      </c>
      <c r="I271">
        <v>2</v>
      </c>
    </row>
    <row r="272" spans="1:9" x14ac:dyDescent="0.25">
      <c r="A272" s="18">
        <v>41911</v>
      </c>
      <c r="B272">
        <v>7</v>
      </c>
      <c r="C272">
        <v>3.68</v>
      </c>
      <c r="D272">
        <v>2.2999999999999998</v>
      </c>
      <c r="E272">
        <v>29.8</v>
      </c>
      <c r="F272">
        <v>12</v>
      </c>
      <c r="G272">
        <v>0</v>
      </c>
      <c r="H272">
        <v>10</v>
      </c>
      <c r="I272">
        <v>4</v>
      </c>
    </row>
    <row r="273" spans="1:9" x14ac:dyDescent="0.25">
      <c r="A273" s="18">
        <v>41912</v>
      </c>
      <c r="B273">
        <v>10</v>
      </c>
      <c r="C273">
        <v>5.34</v>
      </c>
      <c r="D273">
        <v>4</v>
      </c>
      <c r="E273">
        <v>61.3</v>
      </c>
      <c r="F273">
        <v>10</v>
      </c>
      <c r="G273">
        <v>2</v>
      </c>
      <c r="H273">
        <v>22</v>
      </c>
      <c r="I273">
        <v>2</v>
      </c>
    </row>
    <row r="274" spans="1:9" x14ac:dyDescent="0.25">
      <c r="A274" s="18">
        <v>41913</v>
      </c>
      <c r="B274">
        <v>2.34</v>
      </c>
      <c r="C274">
        <v>0</v>
      </c>
      <c r="D274">
        <v>2.4</v>
      </c>
      <c r="E274">
        <v>44</v>
      </c>
      <c r="F274">
        <v>15</v>
      </c>
      <c r="G274">
        <v>0</v>
      </c>
      <c r="H274">
        <v>11</v>
      </c>
      <c r="I274">
        <v>2</v>
      </c>
    </row>
    <row r="275" spans="1:9" x14ac:dyDescent="0.25">
      <c r="A275" s="18">
        <v>41914</v>
      </c>
      <c r="B275">
        <v>2</v>
      </c>
      <c r="C275">
        <v>4.99</v>
      </c>
      <c r="D275">
        <v>5</v>
      </c>
      <c r="E275">
        <v>23.9</v>
      </c>
      <c r="F275">
        <v>11</v>
      </c>
      <c r="G275">
        <v>0</v>
      </c>
      <c r="H275">
        <v>2</v>
      </c>
      <c r="I275">
        <v>1</v>
      </c>
    </row>
    <row r="276" spans="1:9" x14ac:dyDescent="0.25">
      <c r="A276" s="18">
        <v>41915</v>
      </c>
      <c r="B276">
        <v>4.33</v>
      </c>
      <c r="C276">
        <v>1.34</v>
      </c>
      <c r="D276">
        <v>5.9</v>
      </c>
      <c r="E276">
        <v>44.14</v>
      </c>
      <c r="F276">
        <v>12</v>
      </c>
      <c r="G276">
        <v>0</v>
      </c>
      <c r="H276">
        <v>11</v>
      </c>
      <c r="I276">
        <v>2</v>
      </c>
    </row>
    <row r="277" spans="1:9" x14ac:dyDescent="0.25">
      <c r="A277" s="18">
        <v>41916</v>
      </c>
      <c r="B277">
        <v>4.68</v>
      </c>
      <c r="C277">
        <v>7.766</v>
      </c>
      <c r="D277">
        <v>8</v>
      </c>
      <c r="E277">
        <v>49.9</v>
      </c>
      <c r="F277">
        <v>12</v>
      </c>
      <c r="G277">
        <v>1</v>
      </c>
      <c r="H277">
        <v>25</v>
      </c>
      <c r="I277">
        <v>0</v>
      </c>
    </row>
    <row r="278" spans="1:9" x14ac:dyDescent="0.25">
      <c r="A278" s="18">
        <v>41917</v>
      </c>
      <c r="B278">
        <v>2</v>
      </c>
      <c r="C278">
        <v>3.34</v>
      </c>
      <c r="D278">
        <v>3</v>
      </c>
      <c r="E278">
        <v>19</v>
      </c>
      <c r="F278">
        <v>1</v>
      </c>
      <c r="G278">
        <v>0</v>
      </c>
      <c r="H278">
        <v>0</v>
      </c>
      <c r="I278">
        <v>3</v>
      </c>
    </row>
    <row r="279" spans="1:9" x14ac:dyDescent="0.25">
      <c r="A279" s="18">
        <v>41918</v>
      </c>
      <c r="B279">
        <v>5.34</v>
      </c>
      <c r="C279">
        <v>1.365</v>
      </c>
      <c r="D279">
        <v>2.4</v>
      </c>
      <c r="E279">
        <v>69.875</v>
      </c>
      <c r="F279">
        <v>13</v>
      </c>
      <c r="G279">
        <v>1</v>
      </c>
      <c r="H279">
        <v>0</v>
      </c>
      <c r="I279">
        <v>1</v>
      </c>
    </row>
    <row r="280" spans="1:9" x14ac:dyDescent="0.25">
      <c r="A280" s="18">
        <v>41919</v>
      </c>
      <c r="B280">
        <v>3</v>
      </c>
      <c r="C280">
        <v>4.34</v>
      </c>
      <c r="D280">
        <v>2.2000000000000002</v>
      </c>
      <c r="E280">
        <v>41.7</v>
      </c>
      <c r="F280">
        <v>17</v>
      </c>
      <c r="G280">
        <v>1</v>
      </c>
      <c r="H280">
        <v>5</v>
      </c>
      <c r="I280">
        <v>0</v>
      </c>
    </row>
    <row r="281" spans="1:9" x14ac:dyDescent="0.25">
      <c r="A281" s="18">
        <v>41920</v>
      </c>
      <c r="B281">
        <v>3.68</v>
      </c>
      <c r="C281">
        <v>6</v>
      </c>
      <c r="D281">
        <v>7</v>
      </c>
      <c r="E281">
        <v>50</v>
      </c>
      <c r="F281">
        <v>17</v>
      </c>
      <c r="G281">
        <v>0</v>
      </c>
      <c r="H281">
        <v>0</v>
      </c>
      <c r="I281">
        <v>2</v>
      </c>
    </row>
    <row r="282" spans="1:9" x14ac:dyDescent="0.25">
      <c r="A282" s="18">
        <v>41921</v>
      </c>
      <c r="B282">
        <v>1</v>
      </c>
      <c r="C282">
        <v>4.6900000000000004</v>
      </c>
      <c r="D282">
        <v>6</v>
      </c>
      <c r="E282">
        <v>48.2</v>
      </c>
      <c r="F282">
        <v>10</v>
      </c>
      <c r="G282">
        <v>2</v>
      </c>
      <c r="H282">
        <v>5</v>
      </c>
      <c r="I282">
        <v>0</v>
      </c>
    </row>
    <row r="283" spans="1:9" x14ac:dyDescent="0.25">
      <c r="A283" s="18">
        <v>41922</v>
      </c>
      <c r="B283">
        <v>4.34</v>
      </c>
      <c r="C283">
        <v>2.68</v>
      </c>
      <c r="D283">
        <v>9</v>
      </c>
      <c r="E283">
        <v>28.8</v>
      </c>
      <c r="F283">
        <v>24</v>
      </c>
      <c r="G283">
        <v>3</v>
      </c>
      <c r="H283">
        <v>6</v>
      </c>
      <c r="I283">
        <v>0.5</v>
      </c>
    </row>
    <row r="284" spans="1:9" x14ac:dyDescent="0.25">
      <c r="A284" s="18">
        <v>41923</v>
      </c>
      <c r="B284">
        <v>3.34</v>
      </c>
      <c r="C284">
        <v>3.68</v>
      </c>
      <c r="D284">
        <v>5</v>
      </c>
      <c r="E284">
        <v>35.9</v>
      </c>
      <c r="F284">
        <v>15</v>
      </c>
      <c r="G284">
        <v>0</v>
      </c>
      <c r="H284">
        <v>0</v>
      </c>
      <c r="I284">
        <v>5</v>
      </c>
    </row>
    <row r="285" spans="1:9" x14ac:dyDescent="0.25">
      <c r="A285" s="18">
        <v>41924</v>
      </c>
      <c r="B285">
        <v>3</v>
      </c>
      <c r="C285">
        <v>0.33</v>
      </c>
      <c r="D285">
        <v>1.5</v>
      </c>
      <c r="E285">
        <v>22.5</v>
      </c>
      <c r="F285">
        <v>7</v>
      </c>
      <c r="G285">
        <v>0</v>
      </c>
      <c r="H285">
        <v>5</v>
      </c>
      <c r="I285">
        <v>2</v>
      </c>
    </row>
    <row r="286" spans="1:9" x14ac:dyDescent="0.25">
      <c r="A286" s="18">
        <v>41925</v>
      </c>
      <c r="B286">
        <v>1.68</v>
      </c>
      <c r="C286">
        <v>4</v>
      </c>
      <c r="D286">
        <v>6.2</v>
      </c>
      <c r="E286">
        <v>31.9</v>
      </c>
      <c r="F286">
        <v>11</v>
      </c>
      <c r="G286">
        <v>0</v>
      </c>
      <c r="H286">
        <v>1</v>
      </c>
      <c r="I286">
        <v>2</v>
      </c>
    </row>
    <row r="287" spans="1:9" x14ac:dyDescent="0.25">
      <c r="A287" s="18">
        <v>41926</v>
      </c>
      <c r="B287">
        <v>3</v>
      </c>
      <c r="C287">
        <v>5.41</v>
      </c>
      <c r="D287">
        <v>4.8</v>
      </c>
      <c r="E287">
        <v>31.8</v>
      </c>
      <c r="F287">
        <v>7</v>
      </c>
      <c r="G287">
        <v>0</v>
      </c>
      <c r="H287">
        <v>11</v>
      </c>
      <c r="I287">
        <v>0</v>
      </c>
    </row>
    <row r="288" spans="1:9" x14ac:dyDescent="0.25">
      <c r="A288" s="18">
        <v>41927</v>
      </c>
      <c r="B288">
        <v>1.33</v>
      </c>
      <c r="C288">
        <v>6.35</v>
      </c>
      <c r="D288">
        <v>3.5</v>
      </c>
      <c r="E288">
        <v>23.7</v>
      </c>
      <c r="F288">
        <v>14</v>
      </c>
      <c r="G288">
        <v>1</v>
      </c>
      <c r="H288">
        <v>2</v>
      </c>
      <c r="I288">
        <v>4</v>
      </c>
    </row>
    <row r="289" spans="1:9" x14ac:dyDescent="0.25">
      <c r="A289" s="18">
        <v>41928</v>
      </c>
      <c r="B289">
        <v>4</v>
      </c>
      <c r="C289">
        <v>3.99</v>
      </c>
      <c r="D289">
        <v>5</v>
      </c>
      <c r="E289">
        <v>32.200000000000003</v>
      </c>
      <c r="F289">
        <v>7</v>
      </c>
      <c r="G289">
        <v>0</v>
      </c>
      <c r="H289">
        <v>2</v>
      </c>
      <c r="I289">
        <v>2.2999999999999998</v>
      </c>
    </row>
    <row r="290" spans="1:9" x14ac:dyDescent="0.25">
      <c r="A290" s="18">
        <v>41929</v>
      </c>
      <c r="B290">
        <v>3</v>
      </c>
      <c r="C290">
        <v>2.34</v>
      </c>
      <c r="D290">
        <v>3.4</v>
      </c>
      <c r="E290">
        <v>42</v>
      </c>
      <c r="F290">
        <v>22</v>
      </c>
      <c r="G290">
        <v>3</v>
      </c>
      <c r="H290">
        <v>0</v>
      </c>
      <c r="I290">
        <v>2</v>
      </c>
    </row>
    <row r="291" spans="1:9" x14ac:dyDescent="0.25">
      <c r="A291" s="18">
        <v>41930</v>
      </c>
      <c r="B291">
        <v>4</v>
      </c>
      <c r="C291">
        <v>6</v>
      </c>
      <c r="D291">
        <v>5.5</v>
      </c>
      <c r="E291">
        <v>21.4</v>
      </c>
      <c r="F291">
        <v>24</v>
      </c>
      <c r="G291">
        <v>0</v>
      </c>
      <c r="H291">
        <v>3</v>
      </c>
      <c r="I291">
        <v>2</v>
      </c>
    </row>
    <row r="292" spans="1:9" x14ac:dyDescent="0.25">
      <c r="A292" s="18">
        <v>41931</v>
      </c>
      <c r="B292">
        <v>3.33</v>
      </c>
      <c r="C292">
        <v>3</v>
      </c>
      <c r="D292">
        <v>2</v>
      </c>
      <c r="E292">
        <v>13.9</v>
      </c>
      <c r="F292">
        <v>9</v>
      </c>
      <c r="G292">
        <v>0</v>
      </c>
      <c r="H292">
        <v>6</v>
      </c>
      <c r="I292">
        <v>1</v>
      </c>
    </row>
    <row r="293" spans="1:9" x14ac:dyDescent="0.25">
      <c r="A293" s="18">
        <v>41932</v>
      </c>
      <c r="B293">
        <v>3.34</v>
      </c>
      <c r="C293">
        <v>5.66</v>
      </c>
      <c r="D293">
        <v>7.3</v>
      </c>
      <c r="E293">
        <v>35.4</v>
      </c>
      <c r="F293">
        <v>25</v>
      </c>
      <c r="G293">
        <v>2</v>
      </c>
      <c r="H293">
        <v>0</v>
      </c>
      <c r="I293">
        <v>1</v>
      </c>
    </row>
    <row r="294" spans="1:9" x14ac:dyDescent="0.25">
      <c r="A294" s="18">
        <v>41933</v>
      </c>
      <c r="B294">
        <v>2.34</v>
      </c>
      <c r="C294">
        <v>4.34</v>
      </c>
      <c r="D294">
        <v>6.4</v>
      </c>
      <c r="E294">
        <v>14.3</v>
      </c>
      <c r="F294">
        <v>11</v>
      </c>
      <c r="G294">
        <v>0</v>
      </c>
      <c r="H294">
        <v>20</v>
      </c>
      <c r="I294">
        <v>1</v>
      </c>
    </row>
    <row r="295" spans="1:9" x14ac:dyDescent="0.25">
      <c r="A295" s="18">
        <v>41934</v>
      </c>
      <c r="B295">
        <v>3.33</v>
      </c>
      <c r="C295">
        <v>2</v>
      </c>
      <c r="D295">
        <v>2.6</v>
      </c>
      <c r="E295">
        <v>20.9</v>
      </c>
      <c r="F295">
        <v>7</v>
      </c>
      <c r="G295">
        <v>0</v>
      </c>
      <c r="H295">
        <v>2</v>
      </c>
      <c r="I295">
        <v>1</v>
      </c>
    </row>
    <row r="296" spans="1:9" x14ac:dyDescent="0.25">
      <c r="A296" s="18">
        <v>41935</v>
      </c>
      <c r="B296">
        <v>1.34</v>
      </c>
      <c r="C296">
        <v>4.33</v>
      </c>
      <c r="D296">
        <v>0</v>
      </c>
      <c r="E296">
        <v>32.200000000000003</v>
      </c>
      <c r="F296">
        <v>7</v>
      </c>
      <c r="G296">
        <v>1</v>
      </c>
      <c r="H296">
        <v>0</v>
      </c>
      <c r="I296">
        <v>0</v>
      </c>
    </row>
    <row r="297" spans="1:9" x14ac:dyDescent="0.25">
      <c r="A297" s="18">
        <v>41936</v>
      </c>
      <c r="B297">
        <v>3.67</v>
      </c>
      <c r="C297">
        <v>2.67</v>
      </c>
      <c r="D297">
        <v>6.3</v>
      </c>
      <c r="E297">
        <v>49.4</v>
      </c>
      <c r="F297">
        <v>18</v>
      </c>
      <c r="G297">
        <v>0</v>
      </c>
      <c r="H297">
        <v>5</v>
      </c>
      <c r="I297">
        <v>1</v>
      </c>
    </row>
    <row r="298" spans="1:9" x14ac:dyDescent="0.25">
      <c r="A298" s="18">
        <v>41937</v>
      </c>
      <c r="B298">
        <v>2.33</v>
      </c>
      <c r="C298">
        <v>5.14</v>
      </c>
      <c r="D298">
        <v>1</v>
      </c>
      <c r="E298">
        <v>31</v>
      </c>
      <c r="F298">
        <v>21</v>
      </c>
      <c r="G298">
        <v>0</v>
      </c>
      <c r="H298">
        <v>2</v>
      </c>
      <c r="I298">
        <v>5</v>
      </c>
    </row>
    <row r="299" spans="1:9" x14ac:dyDescent="0.25">
      <c r="A299" s="18">
        <v>41938</v>
      </c>
      <c r="B299">
        <v>3.34</v>
      </c>
      <c r="C299">
        <v>1</v>
      </c>
      <c r="D299">
        <v>1.6</v>
      </c>
      <c r="E299">
        <v>30.4</v>
      </c>
      <c r="F299">
        <v>6</v>
      </c>
      <c r="G299">
        <v>0</v>
      </c>
      <c r="H299">
        <v>1</v>
      </c>
      <c r="I299">
        <v>1</v>
      </c>
    </row>
    <row r="300" spans="1:9" x14ac:dyDescent="0.25">
      <c r="A300" s="18">
        <v>41939</v>
      </c>
      <c r="B300">
        <v>8.34</v>
      </c>
      <c r="C300">
        <v>4.55</v>
      </c>
      <c r="D300">
        <v>4</v>
      </c>
      <c r="E300">
        <v>25.3</v>
      </c>
      <c r="F300">
        <v>17</v>
      </c>
      <c r="G300">
        <v>1</v>
      </c>
      <c r="H300">
        <v>3</v>
      </c>
      <c r="I300">
        <v>0</v>
      </c>
    </row>
    <row r="301" spans="1:9" x14ac:dyDescent="0.25">
      <c r="A301" s="18">
        <v>41940</v>
      </c>
      <c r="B301">
        <v>4</v>
      </c>
      <c r="C301">
        <v>3.48</v>
      </c>
      <c r="D301">
        <v>10</v>
      </c>
      <c r="E301">
        <v>40.4</v>
      </c>
      <c r="F301">
        <v>23</v>
      </c>
      <c r="G301">
        <v>0</v>
      </c>
      <c r="H301">
        <v>0</v>
      </c>
      <c r="I301">
        <v>2</v>
      </c>
    </row>
    <row r="302" spans="1:9" x14ac:dyDescent="0.25">
      <c r="A302" s="18">
        <v>41941</v>
      </c>
      <c r="B302">
        <v>5</v>
      </c>
      <c r="C302">
        <v>1</v>
      </c>
      <c r="D302">
        <v>6.6</v>
      </c>
      <c r="E302">
        <v>41</v>
      </c>
      <c r="F302">
        <v>20</v>
      </c>
      <c r="G302">
        <v>2</v>
      </c>
      <c r="H302">
        <v>27</v>
      </c>
      <c r="I302">
        <v>1</v>
      </c>
    </row>
    <row r="303" spans="1:9" x14ac:dyDescent="0.25">
      <c r="A303" s="18">
        <v>41942</v>
      </c>
      <c r="B303">
        <v>0</v>
      </c>
      <c r="C303">
        <v>1</v>
      </c>
      <c r="D303">
        <v>5</v>
      </c>
      <c r="E303">
        <v>20.3</v>
      </c>
      <c r="F303">
        <v>11</v>
      </c>
      <c r="G303">
        <v>1</v>
      </c>
      <c r="H303">
        <v>2</v>
      </c>
      <c r="I303">
        <v>0</v>
      </c>
    </row>
    <row r="304" spans="1:9" x14ac:dyDescent="0.25">
      <c r="A304" s="18">
        <v>41943</v>
      </c>
      <c r="B304">
        <v>2</v>
      </c>
      <c r="C304">
        <v>2.4500000000000002</v>
      </c>
      <c r="D304">
        <v>4</v>
      </c>
      <c r="E304">
        <v>31</v>
      </c>
      <c r="F304">
        <v>16</v>
      </c>
      <c r="G304">
        <v>0</v>
      </c>
      <c r="H304">
        <v>0</v>
      </c>
      <c r="I304">
        <v>2</v>
      </c>
    </row>
    <row r="305" spans="1:9" x14ac:dyDescent="0.25">
      <c r="A305" s="18">
        <v>41944</v>
      </c>
      <c r="B305">
        <v>2.33</v>
      </c>
      <c r="C305">
        <v>2.34</v>
      </c>
      <c r="D305">
        <v>3.5</v>
      </c>
      <c r="E305">
        <v>43.8</v>
      </c>
      <c r="F305">
        <v>22</v>
      </c>
      <c r="G305">
        <v>0</v>
      </c>
      <c r="H305">
        <v>7</v>
      </c>
      <c r="I305">
        <v>1</v>
      </c>
    </row>
    <row r="306" spans="1:9" x14ac:dyDescent="0.25">
      <c r="A306" s="18">
        <v>41945</v>
      </c>
      <c r="B306">
        <v>4</v>
      </c>
      <c r="C306">
        <v>0</v>
      </c>
      <c r="D306">
        <v>1</v>
      </c>
      <c r="E306">
        <v>2</v>
      </c>
      <c r="F306">
        <v>3.5</v>
      </c>
      <c r="G306">
        <v>0</v>
      </c>
      <c r="H306">
        <v>0</v>
      </c>
      <c r="I306">
        <v>1</v>
      </c>
    </row>
    <row r="307" spans="1:9" x14ac:dyDescent="0.25">
      <c r="A307" s="18">
        <v>41946</v>
      </c>
      <c r="B307">
        <v>7</v>
      </c>
      <c r="C307">
        <v>4.33</v>
      </c>
      <c r="D307">
        <v>1</v>
      </c>
      <c r="E307">
        <v>27.8</v>
      </c>
      <c r="F307">
        <v>19</v>
      </c>
      <c r="G307">
        <v>0</v>
      </c>
      <c r="H307">
        <v>5</v>
      </c>
      <c r="I307">
        <v>1</v>
      </c>
    </row>
    <row r="308" spans="1:9" x14ac:dyDescent="0.25">
      <c r="A308" s="18">
        <v>41947</v>
      </c>
      <c r="B308">
        <v>6.33</v>
      </c>
      <c r="C308">
        <v>1</v>
      </c>
      <c r="D308">
        <v>5.2</v>
      </c>
      <c r="E308">
        <v>26.5</v>
      </c>
      <c r="F308">
        <v>15</v>
      </c>
      <c r="G308">
        <v>0</v>
      </c>
      <c r="H308">
        <v>0</v>
      </c>
      <c r="I308">
        <v>1</v>
      </c>
    </row>
    <row r="309" spans="1:9" x14ac:dyDescent="0.25">
      <c r="A309" s="18">
        <v>41948</v>
      </c>
      <c r="B309">
        <v>0</v>
      </c>
      <c r="C309">
        <v>1.68</v>
      </c>
      <c r="D309">
        <v>4</v>
      </c>
      <c r="E309">
        <v>27</v>
      </c>
      <c r="F309">
        <v>19</v>
      </c>
      <c r="G309">
        <v>3</v>
      </c>
      <c r="H309">
        <v>1</v>
      </c>
      <c r="I309">
        <v>0</v>
      </c>
    </row>
    <row r="310" spans="1:9" x14ac:dyDescent="0.25">
      <c r="A310" s="18">
        <v>41949</v>
      </c>
      <c r="B310">
        <v>6</v>
      </c>
      <c r="C310">
        <v>2.34</v>
      </c>
      <c r="D310">
        <v>5.2</v>
      </c>
      <c r="E310">
        <v>23.4</v>
      </c>
      <c r="F310">
        <v>23</v>
      </c>
      <c r="G310">
        <v>1</v>
      </c>
      <c r="H310">
        <v>0</v>
      </c>
      <c r="I310">
        <v>0</v>
      </c>
    </row>
    <row r="311" spans="1:9" x14ac:dyDescent="0.25">
      <c r="A311" s="18">
        <v>41950</v>
      </c>
      <c r="B311">
        <v>6</v>
      </c>
      <c r="C311">
        <v>10.34</v>
      </c>
      <c r="D311">
        <v>5.5</v>
      </c>
      <c r="E311">
        <v>15.8</v>
      </c>
      <c r="F311">
        <v>32</v>
      </c>
      <c r="G311">
        <v>1</v>
      </c>
      <c r="H311">
        <v>0</v>
      </c>
      <c r="I311">
        <v>1</v>
      </c>
    </row>
    <row r="312" spans="1:9" x14ac:dyDescent="0.25">
      <c r="A312" s="18">
        <v>41951</v>
      </c>
      <c r="B312">
        <v>12</v>
      </c>
      <c r="C312">
        <v>7.02</v>
      </c>
      <c r="D312">
        <v>6</v>
      </c>
      <c r="E312">
        <v>34.4</v>
      </c>
      <c r="F312">
        <v>24</v>
      </c>
      <c r="G312">
        <v>0</v>
      </c>
      <c r="H312">
        <v>17</v>
      </c>
      <c r="I312">
        <v>2.2000000000000002</v>
      </c>
    </row>
    <row r="313" spans="1:9" x14ac:dyDescent="0.25">
      <c r="A313" s="18">
        <v>41952</v>
      </c>
      <c r="B313">
        <v>3.34</v>
      </c>
      <c r="C313">
        <v>4.34</v>
      </c>
      <c r="D313">
        <v>2.9</v>
      </c>
      <c r="E313">
        <v>23</v>
      </c>
      <c r="F313">
        <v>20</v>
      </c>
      <c r="G313">
        <v>0</v>
      </c>
      <c r="H313">
        <v>2</v>
      </c>
      <c r="I313">
        <v>1</v>
      </c>
    </row>
    <row r="314" spans="1:9" x14ac:dyDescent="0.25">
      <c r="A314" s="18">
        <v>41953</v>
      </c>
      <c r="B314">
        <v>1</v>
      </c>
      <c r="C314">
        <v>5.32</v>
      </c>
      <c r="D314">
        <v>3.3</v>
      </c>
      <c r="E314">
        <v>24.3</v>
      </c>
      <c r="F314">
        <v>13</v>
      </c>
      <c r="G314">
        <v>0</v>
      </c>
      <c r="H314">
        <v>7</v>
      </c>
      <c r="I314">
        <v>1</v>
      </c>
    </row>
    <row r="315" spans="1:9" x14ac:dyDescent="0.25">
      <c r="A315" s="18">
        <v>41954</v>
      </c>
      <c r="B315">
        <v>8</v>
      </c>
      <c r="C315">
        <v>4</v>
      </c>
      <c r="D315">
        <v>2</v>
      </c>
      <c r="E315">
        <v>23</v>
      </c>
      <c r="F315">
        <v>18</v>
      </c>
      <c r="G315">
        <v>0</v>
      </c>
      <c r="H315">
        <v>8</v>
      </c>
      <c r="I315">
        <v>2</v>
      </c>
    </row>
    <row r="316" spans="1:9" x14ac:dyDescent="0.25">
      <c r="A316" s="18">
        <v>41955</v>
      </c>
      <c r="B316">
        <v>3</v>
      </c>
      <c r="C316">
        <v>5</v>
      </c>
      <c r="D316">
        <v>4</v>
      </c>
      <c r="E316">
        <v>25</v>
      </c>
      <c r="F316">
        <v>16</v>
      </c>
      <c r="G316">
        <v>0</v>
      </c>
      <c r="H316">
        <v>3</v>
      </c>
      <c r="I316">
        <v>0</v>
      </c>
    </row>
    <row r="317" spans="1:9" x14ac:dyDescent="0.25">
      <c r="A317" s="18">
        <v>41956</v>
      </c>
      <c r="B317">
        <v>8</v>
      </c>
      <c r="C317">
        <v>2</v>
      </c>
      <c r="D317">
        <v>5</v>
      </c>
      <c r="E317">
        <v>33.200000000000003</v>
      </c>
      <c r="F317">
        <v>10</v>
      </c>
      <c r="G317">
        <v>0</v>
      </c>
      <c r="H317">
        <v>0</v>
      </c>
      <c r="I317">
        <v>2.2000000000000002</v>
      </c>
    </row>
    <row r="318" spans="1:9" x14ac:dyDescent="0.25">
      <c r="A318" s="18">
        <v>41957</v>
      </c>
      <c r="B318">
        <v>5.34</v>
      </c>
      <c r="C318">
        <v>0</v>
      </c>
      <c r="D318">
        <v>6</v>
      </c>
      <c r="E318">
        <v>29.4</v>
      </c>
      <c r="F318">
        <v>20</v>
      </c>
      <c r="G318">
        <v>1</v>
      </c>
      <c r="H318">
        <v>2</v>
      </c>
      <c r="I318">
        <v>3</v>
      </c>
    </row>
    <row r="319" spans="1:9" x14ac:dyDescent="0.25">
      <c r="A319" s="18">
        <v>41958</v>
      </c>
      <c r="B319">
        <v>4.33</v>
      </c>
      <c r="C319">
        <v>5.34</v>
      </c>
      <c r="D319">
        <v>5</v>
      </c>
      <c r="E319">
        <v>23.6</v>
      </c>
      <c r="F319">
        <v>20</v>
      </c>
      <c r="G319">
        <v>2</v>
      </c>
      <c r="H319">
        <v>2</v>
      </c>
      <c r="I319">
        <v>2</v>
      </c>
    </row>
    <row r="320" spans="1:9" x14ac:dyDescent="0.25">
      <c r="A320" s="18">
        <v>41959</v>
      </c>
      <c r="B320">
        <v>2</v>
      </c>
      <c r="C320">
        <v>2.68</v>
      </c>
      <c r="D320">
        <v>6</v>
      </c>
      <c r="E320">
        <v>18.600000000000001</v>
      </c>
      <c r="F320">
        <v>13</v>
      </c>
      <c r="G320">
        <v>1</v>
      </c>
      <c r="H320">
        <v>0</v>
      </c>
      <c r="I320">
        <v>0</v>
      </c>
    </row>
    <row r="321" spans="1:9" x14ac:dyDescent="0.25">
      <c r="A321" s="18">
        <v>41960</v>
      </c>
      <c r="B321">
        <v>9</v>
      </c>
      <c r="C321">
        <v>5.01</v>
      </c>
      <c r="D321">
        <v>5.5</v>
      </c>
      <c r="E321">
        <v>23</v>
      </c>
      <c r="F321">
        <v>23</v>
      </c>
      <c r="G321">
        <v>1</v>
      </c>
      <c r="H321">
        <v>10</v>
      </c>
      <c r="I321">
        <v>0.2</v>
      </c>
    </row>
    <row r="322" spans="1:9" x14ac:dyDescent="0.25">
      <c r="A322" s="18">
        <v>41961</v>
      </c>
      <c r="B322">
        <v>2.67</v>
      </c>
      <c r="C322">
        <v>2</v>
      </c>
      <c r="D322">
        <v>5</v>
      </c>
      <c r="E322">
        <v>19.3</v>
      </c>
      <c r="F322">
        <v>10.5</v>
      </c>
      <c r="G322">
        <v>1</v>
      </c>
      <c r="H322">
        <v>0</v>
      </c>
      <c r="I322">
        <v>1</v>
      </c>
    </row>
    <row r="323" spans="1:9" x14ac:dyDescent="0.25">
      <c r="A323" s="18">
        <v>41962</v>
      </c>
      <c r="B323">
        <v>1.34</v>
      </c>
      <c r="C323">
        <v>3.67</v>
      </c>
      <c r="D323">
        <v>10</v>
      </c>
      <c r="E323">
        <v>32</v>
      </c>
      <c r="F323">
        <v>17</v>
      </c>
      <c r="G323">
        <v>0</v>
      </c>
      <c r="H323">
        <v>10</v>
      </c>
      <c r="I323">
        <v>4</v>
      </c>
    </row>
    <row r="324" spans="1:9" x14ac:dyDescent="0.25">
      <c r="A324" s="18">
        <v>41963</v>
      </c>
      <c r="B324">
        <v>4</v>
      </c>
      <c r="C324">
        <v>7</v>
      </c>
      <c r="D324">
        <v>5</v>
      </c>
      <c r="E324">
        <v>18.8</v>
      </c>
      <c r="F324">
        <v>13</v>
      </c>
      <c r="G324">
        <v>0</v>
      </c>
      <c r="H324">
        <v>8</v>
      </c>
      <c r="I324">
        <v>0</v>
      </c>
    </row>
    <row r="325" spans="1:9" x14ac:dyDescent="0.25">
      <c r="A325" s="18">
        <v>41964</v>
      </c>
      <c r="B325">
        <v>1.34</v>
      </c>
      <c r="C325">
        <v>1.34</v>
      </c>
      <c r="D325">
        <v>3</v>
      </c>
      <c r="E325">
        <v>22.4</v>
      </c>
      <c r="F325">
        <v>16</v>
      </c>
      <c r="G325">
        <v>0</v>
      </c>
      <c r="H325">
        <v>2</v>
      </c>
      <c r="I325">
        <v>1</v>
      </c>
    </row>
    <row r="326" spans="1:9" x14ac:dyDescent="0.25">
      <c r="A326" s="18">
        <v>41965</v>
      </c>
      <c r="B326">
        <v>6</v>
      </c>
      <c r="C326">
        <v>2.34</v>
      </c>
      <c r="D326">
        <v>3</v>
      </c>
      <c r="E326">
        <v>23.7</v>
      </c>
      <c r="F326">
        <v>15</v>
      </c>
      <c r="G326">
        <v>1</v>
      </c>
      <c r="H326">
        <v>8</v>
      </c>
      <c r="I326">
        <v>1.4</v>
      </c>
    </row>
    <row r="327" spans="1:9" x14ac:dyDescent="0.25">
      <c r="A327" s="18">
        <v>41966</v>
      </c>
      <c r="B327">
        <v>4</v>
      </c>
      <c r="C327">
        <v>3.68</v>
      </c>
      <c r="D327">
        <v>6</v>
      </c>
      <c r="E327">
        <v>22.3</v>
      </c>
      <c r="F327">
        <v>11</v>
      </c>
      <c r="G327">
        <v>0</v>
      </c>
      <c r="H327">
        <v>0</v>
      </c>
      <c r="I327">
        <v>1.1000000000000001</v>
      </c>
    </row>
    <row r="328" spans="1:9" x14ac:dyDescent="0.25">
      <c r="A328" s="18">
        <v>41967</v>
      </c>
      <c r="B328">
        <v>4</v>
      </c>
      <c r="C328">
        <v>3</v>
      </c>
      <c r="D328">
        <v>6</v>
      </c>
      <c r="E328">
        <v>30.6</v>
      </c>
      <c r="F328">
        <v>19</v>
      </c>
      <c r="G328">
        <v>1</v>
      </c>
      <c r="H328">
        <v>1</v>
      </c>
      <c r="I328">
        <v>2.1</v>
      </c>
    </row>
    <row r="329" spans="1:9" x14ac:dyDescent="0.25">
      <c r="A329" s="18">
        <v>41968</v>
      </c>
      <c r="B329">
        <v>5.36</v>
      </c>
      <c r="C329">
        <v>1.68</v>
      </c>
      <c r="D329">
        <v>2</v>
      </c>
      <c r="E329">
        <v>19.2</v>
      </c>
      <c r="F329">
        <v>18</v>
      </c>
      <c r="G329">
        <v>0</v>
      </c>
      <c r="H329">
        <v>2</v>
      </c>
      <c r="I329">
        <v>3</v>
      </c>
    </row>
    <row r="330" spans="1:9" x14ac:dyDescent="0.25">
      <c r="A330" s="18">
        <v>41969</v>
      </c>
      <c r="B330">
        <v>3</v>
      </c>
      <c r="C330">
        <v>5</v>
      </c>
      <c r="D330">
        <v>6</v>
      </c>
      <c r="E330">
        <v>21</v>
      </c>
      <c r="F330">
        <v>13</v>
      </c>
      <c r="G330">
        <v>3</v>
      </c>
      <c r="H330">
        <v>11</v>
      </c>
      <c r="I330">
        <v>2</v>
      </c>
    </row>
    <row r="331" spans="1:9" x14ac:dyDescent="0.25">
      <c r="A331" s="18">
        <v>41970</v>
      </c>
      <c r="B331">
        <v>7</v>
      </c>
      <c r="C331">
        <v>3.67</v>
      </c>
      <c r="D331">
        <v>2.2999999999999998</v>
      </c>
      <c r="E331">
        <v>21.2</v>
      </c>
      <c r="F331">
        <v>9</v>
      </c>
      <c r="G331">
        <v>1</v>
      </c>
      <c r="H331">
        <v>4</v>
      </c>
      <c r="I331">
        <v>3</v>
      </c>
    </row>
    <row r="332" spans="1:9" x14ac:dyDescent="0.25">
      <c r="A332" s="18">
        <v>41971</v>
      </c>
      <c r="B332">
        <v>3.02</v>
      </c>
      <c r="C332">
        <v>1.4</v>
      </c>
      <c r="D332">
        <v>15</v>
      </c>
      <c r="E332">
        <v>15.9</v>
      </c>
      <c r="F332">
        <v>12</v>
      </c>
      <c r="G332">
        <v>1</v>
      </c>
      <c r="H332">
        <v>2</v>
      </c>
      <c r="I332">
        <v>1</v>
      </c>
    </row>
    <row r="333" spans="1:9" x14ac:dyDescent="0.25">
      <c r="A333" s="18">
        <v>41972</v>
      </c>
      <c r="B333">
        <v>3</v>
      </c>
      <c r="C333">
        <v>2.0099999999999998</v>
      </c>
      <c r="D333">
        <v>3.3</v>
      </c>
      <c r="E333">
        <v>31</v>
      </c>
      <c r="F333">
        <v>16</v>
      </c>
      <c r="G333">
        <v>0</v>
      </c>
      <c r="H333">
        <v>0</v>
      </c>
      <c r="I333">
        <v>5</v>
      </c>
    </row>
    <row r="334" spans="1:9" x14ac:dyDescent="0.25">
      <c r="A334" s="18">
        <v>41973</v>
      </c>
      <c r="B334">
        <v>5.68</v>
      </c>
      <c r="C334">
        <v>1.33</v>
      </c>
      <c r="D334">
        <v>5</v>
      </c>
      <c r="E334">
        <v>22.6</v>
      </c>
      <c r="F334">
        <v>9</v>
      </c>
      <c r="G334">
        <v>1</v>
      </c>
      <c r="H334">
        <v>0</v>
      </c>
      <c r="I334">
        <v>2</v>
      </c>
    </row>
    <row r="335" spans="1:9" x14ac:dyDescent="0.25">
      <c r="A335" s="18">
        <v>41974</v>
      </c>
      <c r="B335">
        <v>4.34</v>
      </c>
      <c r="C335">
        <v>4.01</v>
      </c>
      <c r="D335">
        <v>0</v>
      </c>
      <c r="E335">
        <v>36.4</v>
      </c>
      <c r="F335">
        <v>19</v>
      </c>
      <c r="G335">
        <v>0</v>
      </c>
      <c r="H335">
        <v>2</v>
      </c>
      <c r="I335">
        <v>2</v>
      </c>
    </row>
    <row r="336" spans="1:9" x14ac:dyDescent="0.25">
      <c r="A336" s="18">
        <v>41975</v>
      </c>
      <c r="B336">
        <v>6.99</v>
      </c>
      <c r="C336">
        <v>4.33</v>
      </c>
      <c r="D336">
        <v>3.7</v>
      </c>
      <c r="E336">
        <v>7.8</v>
      </c>
      <c r="F336">
        <v>26</v>
      </c>
      <c r="G336">
        <v>0</v>
      </c>
      <c r="H336">
        <v>4</v>
      </c>
      <c r="I336">
        <v>1</v>
      </c>
    </row>
    <row r="337" spans="1:9" x14ac:dyDescent="0.25">
      <c r="A337" s="18">
        <v>41976</v>
      </c>
      <c r="B337">
        <v>4</v>
      </c>
      <c r="C337">
        <v>3.33</v>
      </c>
      <c r="D337">
        <v>5</v>
      </c>
      <c r="E337">
        <v>16.600000000000001</v>
      </c>
      <c r="F337">
        <v>23</v>
      </c>
      <c r="G337">
        <v>2</v>
      </c>
      <c r="H337">
        <v>13</v>
      </c>
      <c r="I337">
        <v>3.2</v>
      </c>
    </row>
    <row r="338" spans="1:9" x14ac:dyDescent="0.25">
      <c r="A338" s="18">
        <v>41977</v>
      </c>
      <c r="B338">
        <v>3</v>
      </c>
      <c r="C338">
        <v>4.34</v>
      </c>
      <c r="D338">
        <v>3.6</v>
      </c>
      <c r="E338">
        <v>28.7</v>
      </c>
      <c r="F338">
        <v>16</v>
      </c>
      <c r="G338">
        <v>1</v>
      </c>
      <c r="H338">
        <v>1</v>
      </c>
      <c r="I338">
        <v>0</v>
      </c>
    </row>
    <row r="339" spans="1:9" x14ac:dyDescent="0.25">
      <c r="A339" s="18">
        <v>41978</v>
      </c>
      <c r="B339">
        <v>2.02</v>
      </c>
      <c r="C339">
        <v>5.68</v>
      </c>
      <c r="D339">
        <v>1</v>
      </c>
      <c r="E339">
        <v>28.1</v>
      </c>
      <c r="F339">
        <v>15</v>
      </c>
      <c r="G339">
        <v>1</v>
      </c>
      <c r="H339">
        <v>1</v>
      </c>
      <c r="I339">
        <v>2.2000000000000002</v>
      </c>
    </row>
    <row r="340" spans="1:9" x14ac:dyDescent="0.25">
      <c r="A340" s="18">
        <v>41979</v>
      </c>
      <c r="B340">
        <v>3.34</v>
      </c>
      <c r="C340">
        <v>3.68</v>
      </c>
      <c r="D340">
        <v>1</v>
      </c>
      <c r="E340">
        <v>12.4</v>
      </c>
      <c r="F340">
        <v>9</v>
      </c>
      <c r="G340">
        <v>0</v>
      </c>
      <c r="H340">
        <v>7</v>
      </c>
      <c r="I340">
        <v>1</v>
      </c>
    </row>
    <row r="341" spans="1:9" x14ac:dyDescent="0.25">
      <c r="A341" s="18">
        <v>41980</v>
      </c>
      <c r="B341">
        <v>5</v>
      </c>
      <c r="C341">
        <v>4.9109999999999996</v>
      </c>
      <c r="D341">
        <v>4</v>
      </c>
      <c r="E341">
        <v>45.7</v>
      </c>
      <c r="F341">
        <v>6</v>
      </c>
      <c r="G341">
        <v>0</v>
      </c>
      <c r="H341">
        <v>12</v>
      </c>
      <c r="I341">
        <v>0</v>
      </c>
    </row>
    <row r="342" spans="1:9" x14ac:dyDescent="0.25">
      <c r="A342" s="18">
        <v>41981</v>
      </c>
      <c r="B342">
        <v>1</v>
      </c>
      <c r="C342">
        <v>3.33</v>
      </c>
      <c r="D342">
        <v>2</v>
      </c>
      <c r="E342">
        <v>20.3</v>
      </c>
      <c r="F342">
        <v>9</v>
      </c>
      <c r="G342">
        <v>0</v>
      </c>
      <c r="H342">
        <v>0</v>
      </c>
      <c r="I342">
        <v>0</v>
      </c>
    </row>
    <row r="343" spans="1:9" x14ac:dyDescent="0.25">
      <c r="A343" s="18">
        <v>41982</v>
      </c>
      <c r="B343">
        <v>1</v>
      </c>
      <c r="C343">
        <v>2.34</v>
      </c>
      <c r="D343">
        <v>7</v>
      </c>
      <c r="E343">
        <v>27.28</v>
      </c>
      <c r="F343">
        <v>12</v>
      </c>
      <c r="G343">
        <v>1</v>
      </c>
      <c r="H343">
        <v>0</v>
      </c>
      <c r="I343">
        <v>2</v>
      </c>
    </row>
    <row r="344" spans="1:9" x14ac:dyDescent="0.25">
      <c r="A344" s="18">
        <v>41983</v>
      </c>
      <c r="B344">
        <v>3.34</v>
      </c>
      <c r="C344">
        <v>3</v>
      </c>
      <c r="D344">
        <v>2</v>
      </c>
      <c r="E344">
        <v>51.2</v>
      </c>
      <c r="F344">
        <v>28</v>
      </c>
      <c r="G344">
        <v>3</v>
      </c>
      <c r="H344">
        <v>6</v>
      </c>
      <c r="I344">
        <v>0</v>
      </c>
    </row>
    <row r="345" spans="1:9" x14ac:dyDescent="0.25">
      <c r="A345" s="18">
        <v>41984</v>
      </c>
      <c r="B345">
        <v>2.34</v>
      </c>
      <c r="C345">
        <v>5.33</v>
      </c>
      <c r="D345">
        <v>7</v>
      </c>
      <c r="E345">
        <v>16.3</v>
      </c>
      <c r="F345">
        <v>21</v>
      </c>
      <c r="G345">
        <v>2</v>
      </c>
      <c r="H345">
        <v>0</v>
      </c>
      <c r="I345">
        <v>0</v>
      </c>
    </row>
    <row r="346" spans="1:9" x14ac:dyDescent="0.25">
      <c r="A346" s="18">
        <v>41985</v>
      </c>
      <c r="B346">
        <v>6.34</v>
      </c>
      <c r="C346">
        <v>2.34</v>
      </c>
      <c r="D346">
        <v>5.6</v>
      </c>
      <c r="E346">
        <v>41.4</v>
      </c>
      <c r="F346">
        <v>18</v>
      </c>
      <c r="G346">
        <v>0</v>
      </c>
      <c r="H346">
        <v>2</v>
      </c>
      <c r="I346">
        <v>0</v>
      </c>
    </row>
    <row r="347" spans="1:9" x14ac:dyDescent="0.25">
      <c r="A347" s="18">
        <v>41986</v>
      </c>
      <c r="B347">
        <v>1</v>
      </c>
      <c r="C347">
        <v>3.34</v>
      </c>
      <c r="D347">
        <v>2.4</v>
      </c>
      <c r="E347">
        <v>25.1</v>
      </c>
      <c r="F347">
        <v>11</v>
      </c>
      <c r="G347">
        <v>1</v>
      </c>
      <c r="H347">
        <v>7</v>
      </c>
      <c r="I347">
        <v>0</v>
      </c>
    </row>
    <row r="348" spans="1:9" x14ac:dyDescent="0.25">
      <c r="A348" s="18">
        <v>41987</v>
      </c>
      <c r="B348">
        <v>10</v>
      </c>
      <c r="C348">
        <v>2.34</v>
      </c>
      <c r="D348">
        <v>4.4000000000000004</v>
      </c>
      <c r="E348">
        <v>40</v>
      </c>
      <c r="F348">
        <v>10</v>
      </c>
      <c r="G348">
        <v>0</v>
      </c>
      <c r="H348">
        <v>6</v>
      </c>
      <c r="I348">
        <v>1</v>
      </c>
    </row>
    <row r="349" spans="1:9" x14ac:dyDescent="0.25">
      <c r="A349" s="18">
        <v>41988</v>
      </c>
      <c r="B349">
        <v>5.34</v>
      </c>
      <c r="C349">
        <v>4.0199999999999996</v>
      </c>
      <c r="D349">
        <v>7.64</v>
      </c>
      <c r="E349">
        <v>42.2</v>
      </c>
      <c r="F349">
        <v>14</v>
      </c>
      <c r="G349">
        <v>1</v>
      </c>
      <c r="H349">
        <v>9</v>
      </c>
      <c r="I349">
        <v>1</v>
      </c>
    </row>
    <row r="350" spans="1:9" x14ac:dyDescent="0.25">
      <c r="A350" s="18">
        <v>41989</v>
      </c>
      <c r="B350">
        <v>6.34</v>
      </c>
      <c r="C350">
        <v>1.34</v>
      </c>
      <c r="D350">
        <v>6.2</v>
      </c>
      <c r="E350">
        <v>23</v>
      </c>
      <c r="F350">
        <v>23</v>
      </c>
      <c r="G350">
        <v>3</v>
      </c>
      <c r="H350">
        <v>4</v>
      </c>
      <c r="I350">
        <v>1</v>
      </c>
    </row>
    <row r="351" spans="1:9" x14ac:dyDescent="0.25">
      <c r="A351" s="18">
        <v>41990</v>
      </c>
      <c r="B351">
        <v>3</v>
      </c>
      <c r="C351">
        <v>3.67</v>
      </c>
      <c r="D351">
        <v>3.5</v>
      </c>
      <c r="E351">
        <v>28</v>
      </c>
      <c r="F351">
        <v>17</v>
      </c>
      <c r="G351">
        <v>2</v>
      </c>
      <c r="H351">
        <v>8</v>
      </c>
      <c r="I351">
        <v>0</v>
      </c>
    </row>
    <row r="352" spans="1:9" x14ac:dyDescent="0.25">
      <c r="A352" s="18">
        <v>41991</v>
      </c>
      <c r="B352">
        <v>5</v>
      </c>
      <c r="C352">
        <v>3.67</v>
      </c>
      <c r="D352">
        <v>3</v>
      </c>
      <c r="E352">
        <v>26.6</v>
      </c>
      <c r="F352">
        <v>9</v>
      </c>
      <c r="G352">
        <v>0</v>
      </c>
      <c r="H352">
        <v>0</v>
      </c>
      <c r="I352">
        <v>0</v>
      </c>
    </row>
    <row r="353" spans="1:9" x14ac:dyDescent="0.25">
      <c r="A353" s="18">
        <v>41992</v>
      </c>
      <c r="B353">
        <v>12</v>
      </c>
      <c r="C353">
        <v>8.9009999999999998</v>
      </c>
      <c r="D353">
        <v>2.2000000000000002</v>
      </c>
      <c r="E353">
        <v>20.5</v>
      </c>
      <c r="F353">
        <v>33</v>
      </c>
      <c r="G353">
        <v>1</v>
      </c>
      <c r="H353">
        <v>0</v>
      </c>
      <c r="I353">
        <v>2</v>
      </c>
    </row>
    <row r="354" spans="1:9" x14ac:dyDescent="0.25">
      <c r="A354" s="18">
        <v>41993</v>
      </c>
      <c r="B354">
        <v>1</v>
      </c>
      <c r="C354">
        <v>3.66</v>
      </c>
      <c r="D354">
        <v>2</v>
      </c>
      <c r="E354">
        <v>31.3</v>
      </c>
      <c r="F354">
        <v>9</v>
      </c>
      <c r="G354">
        <v>0</v>
      </c>
      <c r="H354">
        <v>0</v>
      </c>
      <c r="I354">
        <v>3</v>
      </c>
    </row>
    <row r="355" spans="1:9" x14ac:dyDescent="0.25">
      <c r="A355" s="18">
        <v>41994</v>
      </c>
      <c r="B355">
        <v>4.33</v>
      </c>
      <c r="C355">
        <v>4.33</v>
      </c>
      <c r="D355">
        <v>2</v>
      </c>
      <c r="E355">
        <v>52.5</v>
      </c>
      <c r="F355">
        <v>6</v>
      </c>
      <c r="G355">
        <v>0</v>
      </c>
      <c r="H355">
        <v>10</v>
      </c>
      <c r="I355">
        <v>1</v>
      </c>
    </row>
    <row r="356" spans="1:9" x14ac:dyDescent="0.25">
      <c r="A356" s="18">
        <v>41995</v>
      </c>
      <c r="B356">
        <v>3.34</v>
      </c>
      <c r="C356">
        <v>4.68</v>
      </c>
      <c r="D356">
        <v>2.2839999999999998</v>
      </c>
      <c r="E356">
        <v>19.600000000000001</v>
      </c>
      <c r="F356">
        <v>43</v>
      </c>
      <c r="G356">
        <v>1</v>
      </c>
      <c r="H356">
        <v>13</v>
      </c>
      <c r="I356">
        <v>4</v>
      </c>
    </row>
    <row r="357" spans="1:9" x14ac:dyDescent="0.25">
      <c r="A357" s="18">
        <v>41996</v>
      </c>
      <c r="B357">
        <v>10.5</v>
      </c>
      <c r="C357">
        <v>3</v>
      </c>
      <c r="D357">
        <v>4.5999999999999996</v>
      </c>
      <c r="E357">
        <v>40.4</v>
      </c>
      <c r="F357">
        <v>13</v>
      </c>
      <c r="G357">
        <v>2</v>
      </c>
      <c r="H357">
        <v>15</v>
      </c>
      <c r="I357">
        <v>0</v>
      </c>
    </row>
    <row r="358" spans="1:9" x14ac:dyDescent="0.25">
      <c r="A358" s="18">
        <v>41997</v>
      </c>
      <c r="B358">
        <v>1</v>
      </c>
      <c r="C358">
        <v>3</v>
      </c>
      <c r="D358">
        <v>1</v>
      </c>
      <c r="E358">
        <v>41.6</v>
      </c>
      <c r="F358">
        <v>16</v>
      </c>
      <c r="G358">
        <v>0</v>
      </c>
      <c r="H358">
        <v>2</v>
      </c>
      <c r="I358">
        <v>2</v>
      </c>
    </row>
    <row r="359" spans="1:9" x14ac:dyDescent="0.25">
      <c r="A359" s="18">
        <v>41998</v>
      </c>
      <c r="B359">
        <v>8.34</v>
      </c>
      <c r="C359">
        <v>2</v>
      </c>
      <c r="D359">
        <v>9.5</v>
      </c>
      <c r="E359">
        <v>31</v>
      </c>
      <c r="F359">
        <v>16</v>
      </c>
      <c r="G359">
        <v>0</v>
      </c>
      <c r="H359">
        <v>2</v>
      </c>
      <c r="I359">
        <v>2</v>
      </c>
    </row>
    <row r="360" spans="1:9" x14ac:dyDescent="0.25">
      <c r="A360" s="18">
        <v>41999</v>
      </c>
      <c r="B360">
        <v>3.33</v>
      </c>
      <c r="C360">
        <v>4.01</v>
      </c>
      <c r="D360">
        <v>3</v>
      </c>
      <c r="E360">
        <v>30.7</v>
      </c>
      <c r="F360">
        <v>25</v>
      </c>
      <c r="G360">
        <v>1</v>
      </c>
      <c r="H360">
        <v>0</v>
      </c>
      <c r="I360">
        <v>0</v>
      </c>
    </row>
    <row r="361" spans="1:9" x14ac:dyDescent="0.25">
      <c r="A361" s="18">
        <v>42000</v>
      </c>
      <c r="B361">
        <v>7.33</v>
      </c>
      <c r="C361">
        <v>5.34</v>
      </c>
      <c r="D361">
        <v>4.4000000000000004</v>
      </c>
      <c r="E361">
        <v>39</v>
      </c>
      <c r="F361">
        <v>26</v>
      </c>
      <c r="G361">
        <v>0</v>
      </c>
      <c r="H361">
        <v>9</v>
      </c>
      <c r="I361">
        <v>3</v>
      </c>
    </row>
    <row r="362" spans="1:9" x14ac:dyDescent="0.25">
      <c r="A362" s="18">
        <v>42001</v>
      </c>
      <c r="B362">
        <v>2.34</v>
      </c>
      <c r="C362">
        <v>10.76</v>
      </c>
      <c r="D362">
        <v>3</v>
      </c>
      <c r="E362">
        <v>80.400000000000006</v>
      </c>
      <c r="F362">
        <v>15</v>
      </c>
      <c r="G362">
        <v>0</v>
      </c>
      <c r="H362">
        <v>13</v>
      </c>
      <c r="I362">
        <v>1</v>
      </c>
    </row>
    <row r="363" spans="1:9" x14ac:dyDescent="0.25">
      <c r="A363" s="18">
        <v>42002</v>
      </c>
      <c r="B363">
        <v>2.33</v>
      </c>
      <c r="C363">
        <v>3.66</v>
      </c>
      <c r="D363">
        <v>4</v>
      </c>
      <c r="E363">
        <v>40</v>
      </c>
      <c r="F363">
        <v>5</v>
      </c>
      <c r="G363">
        <v>1</v>
      </c>
      <c r="H363">
        <v>2</v>
      </c>
      <c r="I363">
        <v>0</v>
      </c>
    </row>
    <row r="364" spans="1:9" x14ac:dyDescent="0.25">
      <c r="A364" s="18">
        <v>42003</v>
      </c>
      <c r="B364">
        <v>9</v>
      </c>
      <c r="C364">
        <v>5.63</v>
      </c>
      <c r="D364">
        <v>3.8</v>
      </c>
      <c r="E364">
        <v>51</v>
      </c>
      <c r="F364">
        <v>18</v>
      </c>
      <c r="G364">
        <v>0</v>
      </c>
      <c r="H364">
        <v>5</v>
      </c>
      <c r="I364">
        <v>2</v>
      </c>
    </row>
    <row r="365" spans="1:9" x14ac:dyDescent="0.25">
      <c r="A365" s="18">
        <v>42004</v>
      </c>
      <c r="B365">
        <v>5.67</v>
      </c>
      <c r="C365">
        <v>6.33</v>
      </c>
      <c r="D365">
        <v>2.5</v>
      </c>
      <c r="E365">
        <v>41.08</v>
      </c>
      <c r="F365">
        <v>14</v>
      </c>
      <c r="G365">
        <v>3</v>
      </c>
      <c r="H365">
        <v>10</v>
      </c>
      <c r="I365">
        <v>1</v>
      </c>
    </row>
    <row r="366" spans="1:9" x14ac:dyDescent="0.25">
      <c r="A366" s="18">
        <v>42005</v>
      </c>
      <c r="B366">
        <v>4.33</v>
      </c>
      <c r="C366">
        <v>4.726</v>
      </c>
      <c r="D366">
        <v>2.2000000000000002</v>
      </c>
      <c r="E366">
        <v>14.1</v>
      </c>
      <c r="F366">
        <v>9</v>
      </c>
      <c r="G366">
        <v>0</v>
      </c>
      <c r="H366">
        <v>27</v>
      </c>
      <c r="I366">
        <v>1</v>
      </c>
    </row>
    <row r="367" spans="1:9" x14ac:dyDescent="0.25">
      <c r="A367" s="18">
        <v>42006</v>
      </c>
      <c r="B367">
        <v>6</v>
      </c>
      <c r="C367">
        <v>5.33</v>
      </c>
      <c r="D367">
        <v>4.9000000000000004</v>
      </c>
      <c r="E367">
        <v>50.8</v>
      </c>
      <c r="F367">
        <v>13</v>
      </c>
      <c r="G367">
        <v>0</v>
      </c>
      <c r="H367">
        <v>6.25</v>
      </c>
      <c r="I367">
        <v>2</v>
      </c>
    </row>
    <row r="368" spans="1:9" x14ac:dyDescent="0.25">
      <c r="A368" s="18">
        <v>42007</v>
      </c>
      <c r="B368">
        <v>9</v>
      </c>
      <c r="C368">
        <v>4.67</v>
      </c>
      <c r="D368">
        <v>6</v>
      </c>
      <c r="E368">
        <v>57.24</v>
      </c>
      <c r="F368">
        <v>11</v>
      </c>
      <c r="G368">
        <v>3</v>
      </c>
      <c r="H368">
        <v>0</v>
      </c>
      <c r="I368">
        <v>4</v>
      </c>
    </row>
    <row r="369" spans="1:9" x14ac:dyDescent="0.25">
      <c r="A369" s="18">
        <v>42008</v>
      </c>
      <c r="B369">
        <v>4.68</v>
      </c>
      <c r="C369">
        <v>8.92</v>
      </c>
      <c r="D369">
        <v>3.5</v>
      </c>
      <c r="E369">
        <v>60.1</v>
      </c>
      <c r="F369">
        <v>4</v>
      </c>
      <c r="G369">
        <v>0</v>
      </c>
      <c r="H369">
        <v>2</v>
      </c>
      <c r="I369">
        <v>1</v>
      </c>
    </row>
    <row r="370" spans="1:9" x14ac:dyDescent="0.25">
      <c r="A370" s="18">
        <v>42009</v>
      </c>
      <c r="B370">
        <v>2.34</v>
      </c>
      <c r="C370">
        <v>3.32</v>
      </c>
      <c r="D370">
        <v>1</v>
      </c>
      <c r="E370">
        <v>33.6</v>
      </c>
      <c r="F370">
        <v>14</v>
      </c>
      <c r="G370">
        <v>0</v>
      </c>
      <c r="H370">
        <v>16</v>
      </c>
      <c r="I370">
        <v>3</v>
      </c>
    </row>
    <row r="371" spans="1:9" x14ac:dyDescent="0.25">
      <c r="A371" s="18">
        <v>42010</v>
      </c>
      <c r="B371">
        <v>3</v>
      </c>
      <c r="C371">
        <v>9.3699999999999992</v>
      </c>
      <c r="D371">
        <v>7.3</v>
      </c>
      <c r="E371">
        <v>42</v>
      </c>
      <c r="F371">
        <v>13</v>
      </c>
      <c r="G371">
        <v>0</v>
      </c>
      <c r="H371">
        <v>3</v>
      </c>
      <c r="I371">
        <v>0</v>
      </c>
    </row>
    <row r="372" spans="1:9" x14ac:dyDescent="0.25">
      <c r="A372" s="18">
        <v>42011</v>
      </c>
      <c r="B372">
        <v>2.34</v>
      </c>
      <c r="C372">
        <v>10.01</v>
      </c>
      <c r="D372">
        <v>5.7</v>
      </c>
      <c r="E372">
        <v>38</v>
      </c>
      <c r="F372">
        <v>6</v>
      </c>
      <c r="G372">
        <v>0</v>
      </c>
      <c r="H372">
        <v>12</v>
      </c>
      <c r="I372">
        <v>3.3</v>
      </c>
    </row>
    <row r="373" spans="1:9" x14ac:dyDescent="0.25">
      <c r="A373" s="18">
        <v>42012</v>
      </c>
      <c r="B373">
        <v>2</v>
      </c>
      <c r="C373">
        <v>7.077</v>
      </c>
      <c r="D373">
        <v>1.2</v>
      </c>
      <c r="E373">
        <v>46.4</v>
      </c>
      <c r="F373">
        <v>13</v>
      </c>
      <c r="G373">
        <v>1</v>
      </c>
      <c r="H373">
        <v>1</v>
      </c>
      <c r="I373">
        <v>2</v>
      </c>
    </row>
    <row r="374" spans="1:9" x14ac:dyDescent="0.25">
      <c r="A374" s="18">
        <v>42013</v>
      </c>
      <c r="B374">
        <v>3</v>
      </c>
      <c r="C374">
        <v>4.34</v>
      </c>
      <c r="D374">
        <v>9.4</v>
      </c>
      <c r="E374">
        <v>36.200000000000003</v>
      </c>
      <c r="F374">
        <v>33</v>
      </c>
      <c r="G374">
        <v>2</v>
      </c>
      <c r="H374">
        <v>7</v>
      </c>
      <c r="I374">
        <v>2</v>
      </c>
    </row>
    <row r="375" spans="1:9" x14ac:dyDescent="0.25">
      <c r="A375" s="18">
        <v>42014</v>
      </c>
      <c r="B375">
        <v>6</v>
      </c>
      <c r="C375">
        <v>5.8639999999999999</v>
      </c>
      <c r="D375">
        <v>7</v>
      </c>
      <c r="E375">
        <v>32.6</v>
      </c>
      <c r="F375">
        <v>14</v>
      </c>
      <c r="G375">
        <v>3</v>
      </c>
      <c r="H375">
        <v>1</v>
      </c>
      <c r="I375">
        <v>1</v>
      </c>
    </row>
    <row r="376" spans="1:9" x14ac:dyDescent="0.25">
      <c r="A376" s="18">
        <v>42015</v>
      </c>
      <c r="B376">
        <v>3</v>
      </c>
      <c r="C376">
        <v>7.34</v>
      </c>
      <c r="D376">
        <v>7</v>
      </c>
      <c r="E376">
        <v>43.6</v>
      </c>
      <c r="F376">
        <v>11</v>
      </c>
      <c r="G376">
        <v>1</v>
      </c>
      <c r="H376">
        <v>11</v>
      </c>
      <c r="I376">
        <v>2</v>
      </c>
    </row>
    <row r="377" spans="1:9" x14ac:dyDescent="0.25">
      <c r="A377" s="18">
        <v>42016</v>
      </c>
      <c r="B377">
        <v>2.33</v>
      </c>
      <c r="C377">
        <v>3.34</v>
      </c>
      <c r="D377">
        <v>7.5</v>
      </c>
      <c r="E377">
        <v>36.6</v>
      </c>
      <c r="F377">
        <v>18</v>
      </c>
      <c r="G377">
        <v>0</v>
      </c>
      <c r="H377">
        <v>6</v>
      </c>
      <c r="I377">
        <v>1</v>
      </c>
    </row>
    <row r="378" spans="1:9" x14ac:dyDescent="0.25">
      <c r="A378" s="18">
        <v>42017</v>
      </c>
      <c r="B378">
        <v>10.34</v>
      </c>
      <c r="C378">
        <v>4.66</v>
      </c>
      <c r="D378">
        <v>10</v>
      </c>
      <c r="E378">
        <v>34</v>
      </c>
      <c r="F378">
        <v>14</v>
      </c>
      <c r="G378">
        <v>2</v>
      </c>
      <c r="H378">
        <v>4</v>
      </c>
      <c r="I378">
        <v>2</v>
      </c>
    </row>
    <row r="379" spans="1:9" x14ac:dyDescent="0.25">
      <c r="A379" s="18">
        <v>42018</v>
      </c>
      <c r="B379">
        <v>3</v>
      </c>
      <c r="C379">
        <v>3.34</v>
      </c>
      <c r="D379">
        <v>5</v>
      </c>
      <c r="E379">
        <v>23</v>
      </c>
      <c r="F379">
        <v>20</v>
      </c>
      <c r="G379">
        <v>0</v>
      </c>
      <c r="H379">
        <v>1</v>
      </c>
      <c r="I379">
        <v>0</v>
      </c>
    </row>
    <row r="380" spans="1:9" x14ac:dyDescent="0.25">
      <c r="A380" s="18">
        <v>42019</v>
      </c>
      <c r="B380">
        <v>6.67</v>
      </c>
      <c r="C380">
        <v>3</v>
      </c>
      <c r="D380">
        <v>1</v>
      </c>
      <c r="E380">
        <v>55.25</v>
      </c>
      <c r="F380">
        <v>13</v>
      </c>
      <c r="G380">
        <v>0</v>
      </c>
      <c r="H380">
        <v>15</v>
      </c>
      <c r="I380">
        <v>2</v>
      </c>
    </row>
    <row r="381" spans="1:9" x14ac:dyDescent="0.25">
      <c r="A381" s="18">
        <v>42020</v>
      </c>
      <c r="B381">
        <v>6.33</v>
      </c>
      <c r="C381">
        <v>5.99</v>
      </c>
      <c r="D381">
        <v>3.8</v>
      </c>
      <c r="E381">
        <v>43</v>
      </c>
      <c r="F381">
        <v>16</v>
      </c>
      <c r="G381">
        <v>2</v>
      </c>
      <c r="H381">
        <v>6</v>
      </c>
      <c r="I381">
        <v>2</v>
      </c>
    </row>
    <row r="382" spans="1:9" x14ac:dyDescent="0.25">
      <c r="A382" s="18">
        <v>42021</v>
      </c>
      <c r="B382">
        <v>6.68</v>
      </c>
      <c r="C382">
        <v>5.68</v>
      </c>
      <c r="D382">
        <v>7</v>
      </c>
      <c r="E382">
        <v>19.2</v>
      </c>
      <c r="F382">
        <v>18</v>
      </c>
      <c r="G382">
        <v>0</v>
      </c>
      <c r="H382">
        <v>0</v>
      </c>
      <c r="I382">
        <v>0</v>
      </c>
    </row>
    <row r="383" spans="1:9" x14ac:dyDescent="0.25">
      <c r="A383" s="18">
        <v>42022</v>
      </c>
      <c r="B383">
        <v>4</v>
      </c>
      <c r="C383">
        <v>4.34</v>
      </c>
      <c r="D383">
        <v>4.5</v>
      </c>
      <c r="E383">
        <v>20.399999999999999</v>
      </c>
      <c r="F383">
        <v>16</v>
      </c>
      <c r="G383">
        <v>0</v>
      </c>
      <c r="H383">
        <v>0</v>
      </c>
      <c r="I383">
        <v>2</v>
      </c>
    </row>
    <row r="384" spans="1:9" x14ac:dyDescent="0.25">
      <c r="A384" s="18">
        <v>42023</v>
      </c>
      <c r="B384">
        <v>5.34</v>
      </c>
      <c r="C384">
        <v>2.68</v>
      </c>
      <c r="D384">
        <v>1.1000000000000001</v>
      </c>
      <c r="E384">
        <v>32</v>
      </c>
      <c r="F384">
        <v>12</v>
      </c>
      <c r="G384">
        <v>0</v>
      </c>
      <c r="H384">
        <v>20</v>
      </c>
      <c r="I384">
        <v>2</v>
      </c>
    </row>
    <row r="385" spans="1:9" x14ac:dyDescent="0.25">
      <c r="A385" s="18">
        <v>42024</v>
      </c>
      <c r="B385">
        <v>4.34</v>
      </c>
      <c r="C385">
        <v>0.33</v>
      </c>
      <c r="D385">
        <v>6</v>
      </c>
      <c r="E385">
        <v>38</v>
      </c>
      <c r="F385">
        <v>24</v>
      </c>
      <c r="G385">
        <v>1</v>
      </c>
      <c r="H385">
        <v>4</v>
      </c>
      <c r="I385">
        <v>1</v>
      </c>
    </row>
    <row r="386" spans="1:9" x14ac:dyDescent="0.25">
      <c r="A386" s="18">
        <v>42025</v>
      </c>
      <c r="B386">
        <v>4</v>
      </c>
      <c r="C386">
        <v>1</v>
      </c>
      <c r="D386">
        <v>2</v>
      </c>
      <c r="E386">
        <v>37.450000000000003</v>
      </c>
      <c r="F386">
        <v>17</v>
      </c>
      <c r="G386">
        <v>1</v>
      </c>
      <c r="H386">
        <v>0</v>
      </c>
      <c r="I386">
        <v>1</v>
      </c>
    </row>
    <row r="387" spans="1:9" x14ac:dyDescent="0.25">
      <c r="A387" s="18">
        <v>42026</v>
      </c>
      <c r="B387">
        <v>4</v>
      </c>
      <c r="C387">
        <v>1.34</v>
      </c>
      <c r="D387">
        <v>4</v>
      </c>
      <c r="E387">
        <v>21.4</v>
      </c>
      <c r="F387">
        <v>19</v>
      </c>
      <c r="G387">
        <v>0</v>
      </c>
      <c r="H387">
        <v>0</v>
      </c>
      <c r="I387">
        <v>1</v>
      </c>
    </row>
    <row r="388" spans="1:9" x14ac:dyDescent="0.25">
      <c r="A388" s="18">
        <v>42027</v>
      </c>
      <c r="B388">
        <v>3.67</v>
      </c>
      <c r="C388">
        <v>4.7279999999999998</v>
      </c>
      <c r="D388">
        <v>8</v>
      </c>
      <c r="E388">
        <v>30</v>
      </c>
      <c r="F388">
        <v>14</v>
      </c>
      <c r="G388">
        <v>0</v>
      </c>
      <c r="H388">
        <v>7</v>
      </c>
      <c r="I388">
        <v>2</v>
      </c>
    </row>
    <row r="389" spans="1:9" x14ac:dyDescent="0.25">
      <c r="A389" s="18">
        <v>42028</v>
      </c>
      <c r="B389">
        <v>4.34</v>
      </c>
      <c r="C389">
        <v>3.33</v>
      </c>
      <c r="D389">
        <v>9.1999999999999993</v>
      </c>
      <c r="E389">
        <v>49.7</v>
      </c>
      <c r="F389">
        <v>31</v>
      </c>
      <c r="G389">
        <v>0</v>
      </c>
      <c r="H389">
        <v>22</v>
      </c>
      <c r="I389">
        <v>1</v>
      </c>
    </row>
    <row r="390" spans="1:9" x14ac:dyDescent="0.25">
      <c r="A390" s="18">
        <v>42029</v>
      </c>
      <c r="B390">
        <v>4</v>
      </c>
      <c r="C390">
        <v>1.1299999999999999</v>
      </c>
      <c r="D390">
        <v>1.9</v>
      </c>
      <c r="E390">
        <v>38</v>
      </c>
      <c r="F390">
        <v>11</v>
      </c>
      <c r="G390">
        <v>1</v>
      </c>
      <c r="H390">
        <v>5</v>
      </c>
      <c r="I390">
        <v>0</v>
      </c>
    </row>
    <row r="391" spans="1:9" x14ac:dyDescent="0.25">
      <c r="A391" s="18">
        <v>42030</v>
      </c>
      <c r="B391">
        <v>8.5</v>
      </c>
      <c r="C391">
        <v>4.67</v>
      </c>
      <c r="D391">
        <v>4</v>
      </c>
      <c r="E391">
        <v>34.4</v>
      </c>
      <c r="F391">
        <v>15</v>
      </c>
      <c r="G391">
        <v>0</v>
      </c>
      <c r="H391">
        <v>13</v>
      </c>
      <c r="I391">
        <v>0</v>
      </c>
    </row>
    <row r="392" spans="1:9" x14ac:dyDescent="0.25">
      <c r="A392" s="18">
        <v>42031</v>
      </c>
      <c r="B392">
        <v>2.67</v>
      </c>
      <c r="C392">
        <v>6.33</v>
      </c>
      <c r="D392">
        <v>1</v>
      </c>
      <c r="E392">
        <v>20</v>
      </c>
      <c r="F392">
        <v>14</v>
      </c>
      <c r="G392">
        <v>0</v>
      </c>
      <c r="H392">
        <v>0</v>
      </c>
      <c r="I392">
        <v>0</v>
      </c>
    </row>
    <row r="393" spans="1:9" x14ac:dyDescent="0.25">
      <c r="A393" s="18">
        <v>42032</v>
      </c>
      <c r="B393">
        <v>3</v>
      </c>
      <c r="C393">
        <v>5.34</v>
      </c>
      <c r="D393">
        <v>3</v>
      </c>
      <c r="E393">
        <v>32</v>
      </c>
      <c r="F393">
        <v>18</v>
      </c>
      <c r="G393">
        <v>3</v>
      </c>
      <c r="H393">
        <v>5</v>
      </c>
      <c r="I393">
        <v>3</v>
      </c>
    </row>
    <row r="394" spans="1:9" x14ac:dyDescent="0.25">
      <c r="A394" s="18">
        <v>42033</v>
      </c>
      <c r="B394">
        <v>4.34</v>
      </c>
      <c r="C394">
        <v>5.71</v>
      </c>
      <c r="D394">
        <v>8.6999999999999993</v>
      </c>
      <c r="E394">
        <v>24.4</v>
      </c>
      <c r="F394">
        <v>16</v>
      </c>
      <c r="G394">
        <v>3</v>
      </c>
      <c r="H394">
        <v>11</v>
      </c>
      <c r="I394">
        <v>3</v>
      </c>
    </row>
    <row r="395" spans="1:9" x14ac:dyDescent="0.25">
      <c r="A395" s="18">
        <v>42034</v>
      </c>
      <c r="B395">
        <v>1</v>
      </c>
      <c r="C395">
        <v>1.0680000000000001</v>
      </c>
      <c r="D395">
        <v>1</v>
      </c>
      <c r="E395">
        <v>20.5</v>
      </c>
      <c r="F395">
        <v>19</v>
      </c>
      <c r="G395">
        <v>1</v>
      </c>
      <c r="H395">
        <v>0</v>
      </c>
      <c r="I395">
        <v>0</v>
      </c>
    </row>
    <row r="396" spans="1:9" x14ac:dyDescent="0.25">
      <c r="A396" s="18">
        <v>42035</v>
      </c>
      <c r="B396">
        <v>8.34</v>
      </c>
      <c r="C396">
        <v>6.1120000000000001</v>
      </c>
      <c r="D396">
        <v>5</v>
      </c>
      <c r="E396">
        <v>32.4</v>
      </c>
      <c r="F396">
        <v>12</v>
      </c>
      <c r="G396">
        <v>0</v>
      </c>
      <c r="H396">
        <v>11</v>
      </c>
      <c r="I396">
        <v>2</v>
      </c>
    </row>
    <row r="397" spans="1:9" x14ac:dyDescent="0.25">
      <c r="A397" s="18">
        <v>42036</v>
      </c>
      <c r="B397">
        <v>4.34</v>
      </c>
      <c r="C397">
        <v>7.35</v>
      </c>
      <c r="D397">
        <v>7</v>
      </c>
      <c r="E397">
        <v>35.6</v>
      </c>
      <c r="F397">
        <v>7</v>
      </c>
      <c r="G397">
        <v>1</v>
      </c>
      <c r="H397">
        <v>0</v>
      </c>
      <c r="I397">
        <v>1</v>
      </c>
    </row>
    <row r="398" spans="1:9" x14ac:dyDescent="0.25">
      <c r="A398" s="18">
        <v>42037</v>
      </c>
      <c r="B398">
        <v>6</v>
      </c>
      <c r="C398">
        <v>4</v>
      </c>
      <c r="D398">
        <v>5.0999999999999996</v>
      </c>
      <c r="E398">
        <v>20.9</v>
      </c>
      <c r="F398">
        <v>14</v>
      </c>
      <c r="G398">
        <v>0</v>
      </c>
      <c r="H398">
        <v>3</v>
      </c>
      <c r="I398">
        <v>2</v>
      </c>
    </row>
    <row r="399" spans="1:9" x14ac:dyDescent="0.25">
      <c r="A399" s="18">
        <v>42038</v>
      </c>
      <c r="B399">
        <v>3.33</v>
      </c>
      <c r="C399">
        <v>3</v>
      </c>
      <c r="D399">
        <v>6.2</v>
      </c>
      <c r="E399">
        <v>24.2</v>
      </c>
      <c r="F399">
        <v>18</v>
      </c>
      <c r="G399">
        <v>0</v>
      </c>
      <c r="H399">
        <v>6</v>
      </c>
      <c r="I399">
        <v>5</v>
      </c>
    </row>
    <row r="400" spans="1:9" x14ac:dyDescent="0.25">
      <c r="A400" s="18">
        <v>42039</v>
      </c>
      <c r="B400">
        <v>2.34</v>
      </c>
      <c r="C400">
        <v>2.67</v>
      </c>
      <c r="D400">
        <v>2.4</v>
      </c>
      <c r="E400">
        <v>38.799999999999997</v>
      </c>
      <c r="F400">
        <v>6</v>
      </c>
      <c r="G400">
        <v>0</v>
      </c>
      <c r="H400">
        <v>12</v>
      </c>
      <c r="I400">
        <v>0</v>
      </c>
    </row>
    <row r="401" spans="1:9" x14ac:dyDescent="0.25">
      <c r="A401" s="18">
        <v>42040</v>
      </c>
      <c r="B401">
        <v>2</v>
      </c>
      <c r="C401">
        <v>5.57</v>
      </c>
      <c r="D401">
        <v>3</v>
      </c>
      <c r="E401">
        <v>24.85</v>
      </c>
      <c r="F401">
        <v>12</v>
      </c>
      <c r="G401">
        <v>0</v>
      </c>
      <c r="H401">
        <v>2</v>
      </c>
      <c r="I401">
        <v>1</v>
      </c>
    </row>
    <row r="402" spans="1:9" x14ac:dyDescent="0.25">
      <c r="A402" s="18">
        <v>42041</v>
      </c>
      <c r="B402">
        <v>3.33</v>
      </c>
      <c r="C402">
        <v>3.33</v>
      </c>
      <c r="D402">
        <v>7.3</v>
      </c>
      <c r="E402">
        <v>23</v>
      </c>
      <c r="F402">
        <v>7</v>
      </c>
      <c r="G402">
        <v>1</v>
      </c>
      <c r="H402">
        <v>13</v>
      </c>
      <c r="I402">
        <v>1</v>
      </c>
    </row>
    <row r="403" spans="1:9" x14ac:dyDescent="0.25">
      <c r="A403" s="18">
        <v>42042</v>
      </c>
      <c r="B403">
        <v>2</v>
      </c>
      <c r="C403">
        <v>5</v>
      </c>
      <c r="D403">
        <v>1.9</v>
      </c>
      <c r="E403">
        <v>33.6</v>
      </c>
      <c r="F403">
        <v>9</v>
      </c>
      <c r="G403">
        <v>0</v>
      </c>
      <c r="H403">
        <v>0</v>
      </c>
      <c r="I403">
        <v>2</v>
      </c>
    </row>
    <row r="404" spans="1:9" x14ac:dyDescent="0.25">
      <c r="A404" s="18">
        <v>42043</v>
      </c>
      <c r="B404">
        <v>1.34</v>
      </c>
      <c r="C404">
        <v>7.7590000000000003</v>
      </c>
      <c r="D404">
        <v>5.7</v>
      </c>
      <c r="E404">
        <v>29.9</v>
      </c>
      <c r="F404">
        <v>8</v>
      </c>
      <c r="G404">
        <v>0</v>
      </c>
      <c r="H404">
        <v>0</v>
      </c>
      <c r="I404">
        <v>0</v>
      </c>
    </row>
    <row r="405" spans="1:9" x14ac:dyDescent="0.25">
      <c r="A405" s="18">
        <v>42044</v>
      </c>
      <c r="B405">
        <v>3.33</v>
      </c>
      <c r="C405">
        <v>3.54</v>
      </c>
      <c r="D405">
        <v>9.6</v>
      </c>
      <c r="E405">
        <v>20.7</v>
      </c>
      <c r="F405">
        <v>8</v>
      </c>
      <c r="G405">
        <v>1</v>
      </c>
      <c r="H405">
        <v>0</v>
      </c>
      <c r="I405">
        <v>1</v>
      </c>
    </row>
    <row r="406" spans="1:9" x14ac:dyDescent="0.25">
      <c r="A406" s="18">
        <v>42045</v>
      </c>
      <c r="B406">
        <v>3.66</v>
      </c>
      <c r="C406">
        <v>8.67</v>
      </c>
      <c r="D406">
        <v>7</v>
      </c>
      <c r="E406">
        <v>33</v>
      </c>
      <c r="F406">
        <v>11</v>
      </c>
      <c r="G406">
        <v>0</v>
      </c>
      <c r="H406">
        <v>6</v>
      </c>
      <c r="I406">
        <v>3</v>
      </c>
    </row>
    <row r="407" spans="1:9" x14ac:dyDescent="0.25">
      <c r="A407" s="18">
        <v>42046</v>
      </c>
      <c r="B407">
        <v>3</v>
      </c>
      <c r="C407">
        <v>5.14</v>
      </c>
      <c r="D407">
        <v>3.6</v>
      </c>
      <c r="E407">
        <v>48.5</v>
      </c>
      <c r="F407">
        <v>16</v>
      </c>
      <c r="G407">
        <v>0</v>
      </c>
      <c r="H407">
        <v>20</v>
      </c>
      <c r="I407">
        <v>2</v>
      </c>
    </row>
    <row r="408" spans="1:9" x14ac:dyDescent="0.25">
      <c r="A408" s="18">
        <v>42047</v>
      </c>
      <c r="B408">
        <v>3</v>
      </c>
      <c r="C408">
        <v>4</v>
      </c>
      <c r="D408">
        <v>6</v>
      </c>
      <c r="E408">
        <v>23.82</v>
      </c>
      <c r="F408">
        <v>11</v>
      </c>
      <c r="G408">
        <v>1</v>
      </c>
      <c r="H408">
        <v>5</v>
      </c>
      <c r="I408">
        <v>0</v>
      </c>
    </row>
    <row r="409" spans="1:9" x14ac:dyDescent="0.25">
      <c r="A409" s="18">
        <v>42048</v>
      </c>
      <c r="B409">
        <v>6.01</v>
      </c>
      <c r="C409">
        <v>4.2300000000000004</v>
      </c>
      <c r="D409">
        <v>7</v>
      </c>
      <c r="E409">
        <v>29.6</v>
      </c>
      <c r="F409">
        <v>11</v>
      </c>
      <c r="G409">
        <v>1</v>
      </c>
      <c r="H409">
        <v>22</v>
      </c>
      <c r="I409">
        <v>1</v>
      </c>
    </row>
    <row r="410" spans="1:9" x14ac:dyDescent="0.25">
      <c r="A410" s="18">
        <v>42049</v>
      </c>
      <c r="B410">
        <v>4.33</v>
      </c>
      <c r="C410">
        <v>1.736</v>
      </c>
      <c r="D410">
        <v>6.7</v>
      </c>
      <c r="E410">
        <v>29.2</v>
      </c>
      <c r="F410">
        <v>13</v>
      </c>
      <c r="G410">
        <v>1</v>
      </c>
      <c r="H410">
        <v>5</v>
      </c>
      <c r="I410">
        <v>4</v>
      </c>
    </row>
    <row r="411" spans="1:9" x14ac:dyDescent="0.25">
      <c r="A411" s="18">
        <v>42050</v>
      </c>
      <c r="B411">
        <v>11.68</v>
      </c>
      <c r="C411">
        <v>2.33</v>
      </c>
      <c r="D411">
        <v>4.3</v>
      </c>
      <c r="E411">
        <v>38</v>
      </c>
      <c r="F411">
        <v>7</v>
      </c>
      <c r="G411">
        <v>0</v>
      </c>
      <c r="H411">
        <v>7</v>
      </c>
      <c r="I411">
        <v>2</v>
      </c>
    </row>
    <row r="412" spans="1:9" x14ac:dyDescent="0.25">
      <c r="A412" s="18">
        <v>42051</v>
      </c>
      <c r="B412">
        <v>3.01</v>
      </c>
      <c r="C412">
        <v>3.75</v>
      </c>
      <c r="D412">
        <v>4</v>
      </c>
      <c r="E412">
        <v>40.1</v>
      </c>
      <c r="F412">
        <v>4</v>
      </c>
      <c r="G412">
        <v>0</v>
      </c>
      <c r="H412">
        <v>10</v>
      </c>
      <c r="I412">
        <v>0</v>
      </c>
    </row>
    <row r="413" spans="1:9" x14ac:dyDescent="0.25">
      <c r="A413" s="18">
        <v>42052</v>
      </c>
      <c r="B413">
        <v>5.33</v>
      </c>
      <c r="C413">
        <v>8.6929999999999996</v>
      </c>
      <c r="D413">
        <v>4</v>
      </c>
      <c r="E413">
        <v>36.200000000000003</v>
      </c>
      <c r="F413">
        <v>3</v>
      </c>
      <c r="G413">
        <v>0</v>
      </c>
      <c r="H413">
        <v>6</v>
      </c>
      <c r="I413">
        <v>1</v>
      </c>
    </row>
    <row r="414" spans="1:9" x14ac:dyDescent="0.25">
      <c r="A414" s="18">
        <v>42053</v>
      </c>
      <c r="B414">
        <v>1</v>
      </c>
      <c r="C414">
        <v>2.66</v>
      </c>
      <c r="D414">
        <v>1.33</v>
      </c>
      <c r="E414">
        <v>36.212000000000003</v>
      </c>
      <c r="F414">
        <v>4</v>
      </c>
      <c r="G414">
        <v>0</v>
      </c>
      <c r="H414">
        <v>11</v>
      </c>
      <c r="I414">
        <v>0</v>
      </c>
    </row>
    <row r="415" spans="1:9" x14ac:dyDescent="0.25">
      <c r="A415" s="18">
        <v>42054</v>
      </c>
      <c r="B415">
        <v>2</v>
      </c>
      <c r="C415">
        <v>3.3319999999999999</v>
      </c>
      <c r="D415">
        <v>4</v>
      </c>
      <c r="E415">
        <v>36.700000000000003</v>
      </c>
      <c r="F415">
        <v>2</v>
      </c>
      <c r="G415">
        <v>2</v>
      </c>
      <c r="H415">
        <v>6</v>
      </c>
      <c r="I415">
        <v>3</v>
      </c>
    </row>
    <row r="416" spans="1:9" x14ac:dyDescent="0.25">
      <c r="A416" s="18">
        <v>42055</v>
      </c>
      <c r="B416">
        <v>5.33</v>
      </c>
      <c r="C416">
        <v>4.66</v>
      </c>
      <c r="D416">
        <v>0.5</v>
      </c>
      <c r="E416">
        <v>27</v>
      </c>
      <c r="F416">
        <v>5</v>
      </c>
      <c r="G416">
        <v>0</v>
      </c>
      <c r="H416">
        <v>25</v>
      </c>
      <c r="I416">
        <v>6</v>
      </c>
    </row>
    <row r="417" spans="1:9" x14ac:dyDescent="0.25">
      <c r="A417" s="18">
        <v>42056</v>
      </c>
      <c r="B417">
        <v>3</v>
      </c>
      <c r="C417">
        <v>5.3470000000000004</v>
      </c>
      <c r="D417">
        <v>4.8</v>
      </c>
      <c r="E417">
        <v>57</v>
      </c>
      <c r="F417">
        <v>9</v>
      </c>
      <c r="G417">
        <v>0</v>
      </c>
      <c r="H417">
        <v>0</v>
      </c>
      <c r="I417">
        <v>3</v>
      </c>
    </row>
    <row r="418" spans="1:9" x14ac:dyDescent="0.25">
      <c r="A418" s="18">
        <v>42057</v>
      </c>
      <c r="B418">
        <v>2</v>
      </c>
      <c r="C418">
        <v>4.34</v>
      </c>
      <c r="D418">
        <v>2</v>
      </c>
      <c r="E418">
        <v>50.6</v>
      </c>
      <c r="F418">
        <v>7</v>
      </c>
      <c r="G418">
        <v>0</v>
      </c>
      <c r="H418">
        <v>11</v>
      </c>
      <c r="I418">
        <v>1</v>
      </c>
    </row>
    <row r="419" spans="1:9" x14ac:dyDescent="0.25">
      <c r="A419" s="18">
        <v>42058</v>
      </c>
      <c r="B419">
        <v>5</v>
      </c>
      <c r="C419">
        <v>3.16</v>
      </c>
      <c r="D419">
        <v>7.5</v>
      </c>
      <c r="E419">
        <v>55.4</v>
      </c>
      <c r="F419">
        <v>9</v>
      </c>
      <c r="G419">
        <v>0</v>
      </c>
      <c r="H419">
        <v>20</v>
      </c>
      <c r="I419">
        <v>0</v>
      </c>
    </row>
    <row r="420" spans="1:9" x14ac:dyDescent="0.25">
      <c r="A420" s="18">
        <v>42059</v>
      </c>
      <c r="B420">
        <v>3.68</v>
      </c>
      <c r="C420">
        <v>3.34</v>
      </c>
      <c r="D420">
        <v>6.2</v>
      </c>
      <c r="E420">
        <v>22.07</v>
      </c>
      <c r="F420">
        <v>11</v>
      </c>
      <c r="G420">
        <v>0</v>
      </c>
      <c r="H420">
        <v>11</v>
      </c>
      <c r="I420">
        <v>2</v>
      </c>
    </row>
    <row r="421" spans="1:9" x14ac:dyDescent="0.25">
      <c r="A421" s="18">
        <v>42060</v>
      </c>
      <c r="B421">
        <v>7</v>
      </c>
      <c r="C421">
        <v>6.33</v>
      </c>
      <c r="D421">
        <v>6.1</v>
      </c>
      <c r="E421">
        <v>24</v>
      </c>
      <c r="F421">
        <v>8</v>
      </c>
      <c r="G421">
        <v>0</v>
      </c>
      <c r="H421">
        <v>2</v>
      </c>
      <c r="I421">
        <v>2</v>
      </c>
    </row>
    <row r="422" spans="1:9" x14ac:dyDescent="0.25">
      <c r="A422" s="18">
        <v>42061</v>
      </c>
      <c r="B422">
        <v>6</v>
      </c>
      <c r="C422">
        <v>2</v>
      </c>
      <c r="D422">
        <v>2</v>
      </c>
      <c r="E422">
        <v>36.700000000000003</v>
      </c>
      <c r="F422">
        <v>13</v>
      </c>
      <c r="G422">
        <v>0</v>
      </c>
      <c r="H422">
        <v>1</v>
      </c>
      <c r="I422">
        <v>1</v>
      </c>
    </row>
    <row r="423" spans="1:9" x14ac:dyDescent="0.25">
      <c r="A423" s="18">
        <v>42062</v>
      </c>
      <c r="B423">
        <v>6.33</v>
      </c>
      <c r="C423">
        <v>4.4729999999999999</v>
      </c>
      <c r="D423">
        <v>5</v>
      </c>
      <c r="E423">
        <v>51</v>
      </c>
      <c r="F423">
        <v>1</v>
      </c>
      <c r="G423">
        <v>1</v>
      </c>
      <c r="H423">
        <v>0</v>
      </c>
      <c r="I423">
        <v>0</v>
      </c>
    </row>
    <row r="424" spans="1:9" x14ac:dyDescent="0.25">
      <c r="A424" s="18">
        <v>42063</v>
      </c>
      <c r="B424">
        <v>6.34</v>
      </c>
      <c r="C424">
        <v>3.33</v>
      </c>
      <c r="D424">
        <v>1.6</v>
      </c>
      <c r="E424">
        <v>26.6</v>
      </c>
      <c r="F424">
        <v>9</v>
      </c>
      <c r="G424">
        <v>0</v>
      </c>
      <c r="H424">
        <v>4</v>
      </c>
      <c r="I424">
        <v>3</v>
      </c>
    </row>
    <row r="425" spans="1:9" x14ac:dyDescent="0.25">
      <c r="A425" s="18">
        <v>42064</v>
      </c>
      <c r="B425">
        <v>9</v>
      </c>
      <c r="C425">
        <v>7.8929999999999998</v>
      </c>
      <c r="D425">
        <v>2.7</v>
      </c>
      <c r="E425">
        <v>25.9</v>
      </c>
      <c r="F425">
        <v>3</v>
      </c>
      <c r="G425">
        <v>4</v>
      </c>
      <c r="H425">
        <v>0</v>
      </c>
      <c r="I425">
        <v>4</v>
      </c>
    </row>
    <row r="426" spans="1:9" x14ac:dyDescent="0.25">
      <c r="A426" s="18">
        <v>42065</v>
      </c>
      <c r="B426">
        <v>6.67</v>
      </c>
      <c r="C426">
        <v>4.68</v>
      </c>
      <c r="D426">
        <v>3.5</v>
      </c>
      <c r="E426">
        <v>40.700000000000003</v>
      </c>
      <c r="F426">
        <v>6</v>
      </c>
      <c r="G426">
        <v>1</v>
      </c>
      <c r="H426">
        <v>2</v>
      </c>
      <c r="I426">
        <v>3</v>
      </c>
    </row>
    <row r="427" spans="1:9" x14ac:dyDescent="0.25">
      <c r="A427" s="18">
        <v>42066</v>
      </c>
      <c r="B427">
        <v>8</v>
      </c>
      <c r="C427">
        <v>6.03</v>
      </c>
      <c r="D427">
        <v>4.5</v>
      </c>
      <c r="E427">
        <v>45.6</v>
      </c>
      <c r="F427">
        <v>14</v>
      </c>
      <c r="G427">
        <v>0</v>
      </c>
      <c r="H427">
        <v>1</v>
      </c>
      <c r="I427">
        <v>4</v>
      </c>
    </row>
    <row r="428" spans="1:9" x14ac:dyDescent="0.25">
      <c r="A428" s="18">
        <v>42067</v>
      </c>
      <c r="B428">
        <v>9.68</v>
      </c>
      <c r="C428">
        <v>5.67</v>
      </c>
      <c r="D428">
        <v>3.3</v>
      </c>
      <c r="E428">
        <v>46.85</v>
      </c>
      <c r="F428">
        <v>4</v>
      </c>
      <c r="G428">
        <v>0</v>
      </c>
      <c r="H428">
        <v>11</v>
      </c>
      <c r="I428">
        <v>1</v>
      </c>
    </row>
    <row r="429" spans="1:9" x14ac:dyDescent="0.25">
      <c r="A429" s="18">
        <v>42068</v>
      </c>
      <c r="B429">
        <v>6</v>
      </c>
      <c r="C429">
        <v>2.33</v>
      </c>
      <c r="D429">
        <v>3</v>
      </c>
      <c r="E429">
        <v>35</v>
      </c>
      <c r="F429">
        <v>2</v>
      </c>
      <c r="G429">
        <v>0</v>
      </c>
      <c r="H429">
        <v>0</v>
      </c>
      <c r="I429">
        <v>0</v>
      </c>
    </row>
    <row r="430" spans="1:9" x14ac:dyDescent="0.25">
      <c r="A430" s="18">
        <v>42069</v>
      </c>
      <c r="B430">
        <v>2</v>
      </c>
      <c r="C430">
        <v>2.67</v>
      </c>
      <c r="D430">
        <v>6</v>
      </c>
      <c r="E430">
        <v>19.8</v>
      </c>
      <c r="F430">
        <v>4</v>
      </c>
      <c r="G430">
        <v>0</v>
      </c>
      <c r="H430">
        <v>1</v>
      </c>
      <c r="I430">
        <v>1</v>
      </c>
    </row>
    <row r="431" spans="1:9" x14ac:dyDescent="0.25">
      <c r="A431" s="18">
        <v>42070</v>
      </c>
      <c r="B431">
        <v>3.33</v>
      </c>
      <c r="C431">
        <v>1</v>
      </c>
      <c r="D431">
        <v>1</v>
      </c>
      <c r="E431">
        <v>2</v>
      </c>
      <c r="F431">
        <v>0</v>
      </c>
      <c r="G431">
        <v>0</v>
      </c>
      <c r="H431">
        <v>0</v>
      </c>
      <c r="I431">
        <v>0</v>
      </c>
    </row>
    <row r="432" spans="1:9" x14ac:dyDescent="0.25">
      <c r="A432" s="18">
        <v>42071</v>
      </c>
      <c r="B432">
        <v>6</v>
      </c>
      <c r="C432">
        <v>3.3969999999999998</v>
      </c>
      <c r="D432">
        <v>2.4</v>
      </c>
      <c r="E432">
        <v>55.4</v>
      </c>
      <c r="F432">
        <v>9</v>
      </c>
      <c r="G432">
        <v>0</v>
      </c>
      <c r="H432">
        <v>2</v>
      </c>
      <c r="I432">
        <v>1</v>
      </c>
    </row>
    <row r="433" spans="1:9" x14ac:dyDescent="0.25">
      <c r="A433" s="18">
        <v>42072</v>
      </c>
      <c r="B433">
        <v>2</v>
      </c>
      <c r="C433">
        <v>3</v>
      </c>
      <c r="D433">
        <v>5</v>
      </c>
      <c r="E433">
        <v>32.700000000000003</v>
      </c>
      <c r="F433">
        <v>10</v>
      </c>
      <c r="G433">
        <v>0</v>
      </c>
      <c r="H433">
        <v>1</v>
      </c>
      <c r="I433">
        <v>1</v>
      </c>
    </row>
    <row r="434" spans="1:9" x14ac:dyDescent="0.25">
      <c r="A434" s="18">
        <v>42073</v>
      </c>
      <c r="B434">
        <v>1.34</v>
      </c>
      <c r="C434">
        <v>3.66</v>
      </c>
      <c r="D434">
        <v>5</v>
      </c>
      <c r="E434">
        <v>40.4</v>
      </c>
      <c r="F434">
        <v>6</v>
      </c>
      <c r="G434">
        <v>0</v>
      </c>
      <c r="H434">
        <v>6</v>
      </c>
      <c r="I434">
        <v>3</v>
      </c>
    </row>
    <row r="435" spans="1:9" x14ac:dyDescent="0.25">
      <c r="A435" s="18">
        <v>42074</v>
      </c>
      <c r="B435">
        <v>11</v>
      </c>
      <c r="C435">
        <v>5</v>
      </c>
      <c r="D435">
        <v>3.2</v>
      </c>
      <c r="E435">
        <v>32</v>
      </c>
      <c r="F435">
        <v>9</v>
      </c>
      <c r="G435">
        <v>0</v>
      </c>
      <c r="H435">
        <v>4</v>
      </c>
      <c r="I435">
        <v>0</v>
      </c>
    </row>
    <row r="436" spans="1:9" x14ac:dyDescent="0.25">
      <c r="A436" s="18">
        <v>42075</v>
      </c>
      <c r="B436">
        <v>2.68</v>
      </c>
      <c r="C436">
        <v>6.3869999999999996</v>
      </c>
      <c r="D436">
        <v>6.1</v>
      </c>
      <c r="E436">
        <v>19</v>
      </c>
      <c r="F436">
        <v>5</v>
      </c>
      <c r="G436">
        <v>0</v>
      </c>
      <c r="H436">
        <v>2</v>
      </c>
      <c r="I436">
        <v>3</v>
      </c>
    </row>
    <row r="437" spans="1:9" x14ac:dyDescent="0.25">
      <c r="A437" s="18">
        <v>42076</v>
      </c>
      <c r="B437">
        <v>4</v>
      </c>
      <c r="C437">
        <v>3.33</v>
      </c>
      <c r="D437">
        <v>6.7</v>
      </c>
      <c r="E437">
        <v>63.4</v>
      </c>
      <c r="F437">
        <v>11</v>
      </c>
      <c r="G437">
        <v>2</v>
      </c>
      <c r="H437">
        <v>1</v>
      </c>
      <c r="I437">
        <v>0</v>
      </c>
    </row>
    <row r="438" spans="1:9" x14ac:dyDescent="0.25">
      <c r="A438" s="18">
        <v>42077</v>
      </c>
      <c r="B438">
        <v>2.66</v>
      </c>
      <c r="C438">
        <v>4.33</v>
      </c>
      <c r="D438">
        <v>4</v>
      </c>
      <c r="E438">
        <v>39.1</v>
      </c>
      <c r="F438">
        <v>9</v>
      </c>
      <c r="G438">
        <v>0</v>
      </c>
      <c r="H438">
        <v>9</v>
      </c>
      <c r="I438">
        <v>3</v>
      </c>
    </row>
    <row r="439" spans="1:9" x14ac:dyDescent="0.25">
      <c r="A439" s="18">
        <v>42078</v>
      </c>
      <c r="B439">
        <v>3.34</v>
      </c>
      <c r="C439">
        <v>4.16</v>
      </c>
      <c r="D439">
        <v>3</v>
      </c>
      <c r="E439">
        <v>41</v>
      </c>
      <c r="F439">
        <v>3</v>
      </c>
      <c r="G439">
        <v>0</v>
      </c>
      <c r="H439">
        <v>12</v>
      </c>
      <c r="I439">
        <v>3</v>
      </c>
    </row>
    <row r="440" spans="1:9" x14ac:dyDescent="0.25">
      <c r="A440" s="18">
        <v>42079</v>
      </c>
      <c r="B440">
        <v>8</v>
      </c>
      <c r="C440">
        <v>3.01</v>
      </c>
      <c r="D440">
        <v>4.9000000000000004</v>
      </c>
      <c r="E440">
        <v>46.8</v>
      </c>
      <c r="F440">
        <v>8</v>
      </c>
      <c r="G440">
        <v>0</v>
      </c>
      <c r="H440">
        <v>0</v>
      </c>
      <c r="I440">
        <v>1</v>
      </c>
    </row>
    <row r="441" spans="1:9" x14ac:dyDescent="0.25">
      <c r="A441" s="18">
        <v>42080</v>
      </c>
      <c r="B441">
        <v>5</v>
      </c>
      <c r="C441">
        <v>3</v>
      </c>
      <c r="D441">
        <v>4.5999999999999996</v>
      </c>
      <c r="E441">
        <v>28.8</v>
      </c>
      <c r="F441">
        <v>9</v>
      </c>
      <c r="G441">
        <v>1</v>
      </c>
      <c r="H441">
        <v>2</v>
      </c>
      <c r="I441">
        <v>0</v>
      </c>
    </row>
    <row r="442" spans="1:9" x14ac:dyDescent="0.25">
      <c r="A442" s="18">
        <v>42081</v>
      </c>
      <c r="B442">
        <v>7.33</v>
      </c>
      <c r="C442">
        <v>2</v>
      </c>
      <c r="D442">
        <v>5.3</v>
      </c>
      <c r="E442">
        <v>24.4</v>
      </c>
      <c r="F442">
        <v>5</v>
      </c>
      <c r="G442">
        <v>0</v>
      </c>
      <c r="H442">
        <v>20</v>
      </c>
      <c r="I442">
        <v>2</v>
      </c>
    </row>
    <row r="443" spans="1:9" x14ac:dyDescent="0.25">
      <c r="A443" s="18">
        <v>42082</v>
      </c>
      <c r="B443">
        <v>2</v>
      </c>
      <c r="C443">
        <v>2.33</v>
      </c>
      <c r="D443">
        <v>1.5</v>
      </c>
      <c r="E443">
        <v>31</v>
      </c>
      <c r="F443">
        <v>7</v>
      </c>
      <c r="G443">
        <v>0</v>
      </c>
      <c r="H443">
        <v>15</v>
      </c>
      <c r="I443">
        <v>0</v>
      </c>
    </row>
    <row r="444" spans="1:9" x14ac:dyDescent="0.25">
      <c r="A444" s="18">
        <v>42083</v>
      </c>
      <c r="B444">
        <v>1</v>
      </c>
      <c r="C444">
        <v>7</v>
      </c>
      <c r="D444">
        <v>3</v>
      </c>
      <c r="E444">
        <v>38.6</v>
      </c>
      <c r="F444">
        <v>13</v>
      </c>
      <c r="G444">
        <v>1</v>
      </c>
      <c r="H444">
        <v>5</v>
      </c>
      <c r="I444">
        <v>1</v>
      </c>
    </row>
    <row r="445" spans="1:9" x14ac:dyDescent="0.25">
      <c r="A445" s="18">
        <v>42084</v>
      </c>
      <c r="B445">
        <v>10.33</v>
      </c>
      <c r="C445">
        <v>3.34</v>
      </c>
      <c r="D445">
        <v>3</v>
      </c>
      <c r="E445">
        <v>41.6</v>
      </c>
      <c r="F445">
        <v>4</v>
      </c>
      <c r="G445">
        <v>0</v>
      </c>
      <c r="H445">
        <v>6</v>
      </c>
      <c r="I445">
        <v>2</v>
      </c>
    </row>
    <row r="446" spans="1:9" x14ac:dyDescent="0.25">
      <c r="A446" s="18">
        <v>42085</v>
      </c>
      <c r="B446">
        <v>8.34</v>
      </c>
      <c r="C446">
        <v>6.67</v>
      </c>
      <c r="D446">
        <v>2</v>
      </c>
      <c r="E446">
        <v>43.2</v>
      </c>
      <c r="F446">
        <v>9</v>
      </c>
      <c r="G446">
        <v>0</v>
      </c>
      <c r="H446">
        <v>10</v>
      </c>
      <c r="I446">
        <v>0</v>
      </c>
    </row>
    <row r="447" spans="1:9" x14ac:dyDescent="0.25">
      <c r="A447" s="18">
        <v>42086</v>
      </c>
      <c r="B447">
        <v>2</v>
      </c>
      <c r="C447">
        <v>4.34</v>
      </c>
      <c r="D447">
        <v>7</v>
      </c>
      <c r="E447">
        <v>28</v>
      </c>
      <c r="F447">
        <v>5</v>
      </c>
      <c r="G447">
        <v>0</v>
      </c>
      <c r="H447">
        <v>0</v>
      </c>
      <c r="I447">
        <v>2</v>
      </c>
    </row>
    <row r="448" spans="1:9" x14ac:dyDescent="0.25">
      <c r="A448" s="18">
        <v>42087</v>
      </c>
      <c r="B448">
        <v>4</v>
      </c>
      <c r="C448">
        <v>5.4720000000000004</v>
      </c>
      <c r="D448">
        <v>5.2</v>
      </c>
      <c r="E448">
        <v>22.4</v>
      </c>
      <c r="F448">
        <v>8</v>
      </c>
      <c r="G448">
        <v>2</v>
      </c>
      <c r="H448">
        <v>9</v>
      </c>
      <c r="I448">
        <v>4</v>
      </c>
    </row>
    <row r="449" spans="1:9" x14ac:dyDescent="0.25">
      <c r="A449" s="18">
        <v>42088</v>
      </c>
      <c r="B449">
        <v>3.68</v>
      </c>
      <c r="C449">
        <v>8.66</v>
      </c>
      <c r="D449">
        <v>6.4</v>
      </c>
      <c r="E449">
        <v>17.600000000000001</v>
      </c>
      <c r="F449">
        <v>10</v>
      </c>
      <c r="G449">
        <v>2</v>
      </c>
      <c r="H449">
        <v>13</v>
      </c>
      <c r="I449">
        <v>1</v>
      </c>
    </row>
    <row r="450" spans="1:9" x14ac:dyDescent="0.25">
      <c r="A450" s="18">
        <v>42089</v>
      </c>
      <c r="B450">
        <v>5</v>
      </c>
      <c r="C450">
        <v>1.7470000000000001</v>
      </c>
      <c r="D450">
        <v>3</v>
      </c>
      <c r="E450">
        <v>51.4</v>
      </c>
      <c r="F450">
        <v>10</v>
      </c>
      <c r="G450">
        <v>0</v>
      </c>
      <c r="H450">
        <v>6</v>
      </c>
      <c r="I450">
        <v>5</v>
      </c>
    </row>
    <row r="451" spans="1:9" x14ac:dyDescent="0.25">
      <c r="A451" s="18">
        <v>42090</v>
      </c>
      <c r="B451">
        <v>3</v>
      </c>
      <c r="C451">
        <v>2.67</v>
      </c>
      <c r="D451">
        <v>2</v>
      </c>
      <c r="E451">
        <v>27</v>
      </c>
      <c r="F451">
        <v>3</v>
      </c>
      <c r="G451">
        <v>0</v>
      </c>
      <c r="H451">
        <v>22</v>
      </c>
      <c r="I451">
        <v>1</v>
      </c>
    </row>
    <row r="452" spans="1:9" x14ac:dyDescent="0.25">
      <c r="A452" s="18">
        <v>42091</v>
      </c>
      <c r="B452">
        <v>1.33</v>
      </c>
      <c r="C452">
        <v>3.056</v>
      </c>
      <c r="D452">
        <v>3</v>
      </c>
      <c r="E452">
        <v>50.5</v>
      </c>
      <c r="F452">
        <v>6</v>
      </c>
      <c r="G452">
        <v>0</v>
      </c>
      <c r="H452">
        <v>0</v>
      </c>
      <c r="I452">
        <v>2</v>
      </c>
    </row>
    <row r="453" spans="1:9" x14ac:dyDescent="0.25">
      <c r="A453" s="18">
        <v>42092</v>
      </c>
      <c r="B453">
        <v>6</v>
      </c>
      <c r="C453">
        <v>5.7270000000000003</v>
      </c>
      <c r="D453">
        <v>2.2999999999999998</v>
      </c>
      <c r="E453">
        <v>35.5</v>
      </c>
      <c r="F453">
        <v>7</v>
      </c>
      <c r="G453">
        <v>0</v>
      </c>
      <c r="H453">
        <v>8</v>
      </c>
      <c r="I453">
        <v>2</v>
      </c>
    </row>
    <row r="454" spans="1:9" x14ac:dyDescent="0.25">
      <c r="A454" s="18">
        <v>42093</v>
      </c>
      <c r="B454">
        <v>6.33</v>
      </c>
      <c r="C454">
        <v>4.827</v>
      </c>
      <c r="D454">
        <v>10</v>
      </c>
      <c r="E454">
        <v>25.7</v>
      </c>
      <c r="F454">
        <v>4</v>
      </c>
      <c r="G454">
        <v>0</v>
      </c>
      <c r="H454">
        <v>0</v>
      </c>
      <c r="I454">
        <v>0</v>
      </c>
    </row>
    <row r="455" spans="1:9" x14ac:dyDescent="0.25">
      <c r="A455" s="18">
        <v>42094</v>
      </c>
      <c r="B455">
        <v>5</v>
      </c>
      <c r="C455">
        <v>2</v>
      </c>
      <c r="D455">
        <v>11.2</v>
      </c>
      <c r="E455">
        <v>33.5</v>
      </c>
      <c r="F455">
        <v>5</v>
      </c>
      <c r="G455">
        <v>0</v>
      </c>
      <c r="H455">
        <v>2</v>
      </c>
      <c r="I455">
        <v>4</v>
      </c>
    </row>
    <row r="456" spans="1:9" x14ac:dyDescent="0.25">
      <c r="A456" s="18">
        <v>42095</v>
      </c>
      <c r="B456">
        <v>6.34</v>
      </c>
      <c r="C456">
        <v>1.33</v>
      </c>
      <c r="D456">
        <v>1</v>
      </c>
      <c r="E456">
        <v>24.8</v>
      </c>
      <c r="F456">
        <v>7</v>
      </c>
      <c r="G456">
        <v>2</v>
      </c>
      <c r="H456">
        <v>5</v>
      </c>
      <c r="I456">
        <v>1</v>
      </c>
    </row>
    <row r="457" spans="1:9" x14ac:dyDescent="0.25">
      <c r="A457" s="18">
        <v>42096</v>
      </c>
      <c r="B457">
        <v>5</v>
      </c>
      <c r="C457">
        <v>3.99</v>
      </c>
      <c r="D457">
        <v>5.4</v>
      </c>
      <c r="E457">
        <v>35.07</v>
      </c>
      <c r="F457">
        <v>3</v>
      </c>
      <c r="G457">
        <v>0</v>
      </c>
      <c r="H457">
        <v>3</v>
      </c>
      <c r="I457">
        <v>5</v>
      </c>
    </row>
    <row r="458" spans="1:9" x14ac:dyDescent="0.25">
      <c r="A458" s="18">
        <v>42097</v>
      </c>
      <c r="B458">
        <v>5.33</v>
      </c>
      <c r="C458">
        <v>2.3199999999999998</v>
      </c>
      <c r="D458">
        <v>4</v>
      </c>
      <c r="E458">
        <v>34.200000000000003</v>
      </c>
      <c r="F458">
        <v>12</v>
      </c>
      <c r="G458">
        <v>0</v>
      </c>
      <c r="H458">
        <v>0</v>
      </c>
      <c r="I458">
        <v>4</v>
      </c>
    </row>
    <row r="459" spans="1:9" x14ac:dyDescent="0.25">
      <c r="A459" s="18">
        <v>42098</v>
      </c>
      <c r="B459">
        <v>3.67</v>
      </c>
      <c r="C459">
        <v>4.33</v>
      </c>
      <c r="D459">
        <v>6</v>
      </c>
      <c r="E459">
        <v>43</v>
      </c>
      <c r="F459">
        <v>7</v>
      </c>
      <c r="G459">
        <v>1</v>
      </c>
      <c r="H459">
        <v>5</v>
      </c>
      <c r="I459">
        <v>6</v>
      </c>
    </row>
    <row r="460" spans="1:9" x14ac:dyDescent="0.25">
      <c r="A460" s="18">
        <v>42099</v>
      </c>
      <c r="B460">
        <v>3.34</v>
      </c>
      <c r="C460">
        <v>5.01</v>
      </c>
      <c r="D460">
        <v>4.5</v>
      </c>
      <c r="E460">
        <v>31.6</v>
      </c>
      <c r="F460">
        <v>4</v>
      </c>
      <c r="G460">
        <v>0</v>
      </c>
      <c r="H460">
        <v>0</v>
      </c>
      <c r="I460">
        <v>1</v>
      </c>
    </row>
    <row r="461" spans="1:9" x14ac:dyDescent="0.25">
      <c r="A461" s="18">
        <v>42100</v>
      </c>
      <c r="B461">
        <v>7.33</v>
      </c>
      <c r="C461">
        <v>3.33</v>
      </c>
      <c r="D461">
        <v>5.3</v>
      </c>
      <c r="E461">
        <v>32.9</v>
      </c>
      <c r="F461">
        <v>4</v>
      </c>
      <c r="G461">
        <v>0</v>
      </c>
      <c r="H461">
        <v>3</v>
      </c>
      <c r="I461">
        <v>2</v>
      </c>
    </row>
    <row r="462" spans="1:9" x14ac:dyDescent="0.25">
      <c r="A462" s="18">
        <v>42101</v>
      </c>
      <c r="B462">
        <v>6</v>
      </c>
      <c r="C462">
        <v>3.66</v>
      </c>
      <c r="D462">
        <v>6.7</v>
      </c>
      <c r="E462">
        <v>25</v>
      </c>
      <c r="F462">
        <v>8</v>
      </c>
      <c r="G462">
        <v>0</v>
      </c>
      <c r="H462">
        <v>8</v>
      </c>
      <c r="I462">
        <v>1</v>
      </c>
    </row>
    <row r="463" spans="1:9" x14ac:dyDescent="0.25">
      <c r="A463" s="18">
        <v>42102</v>
      </c>
      <c r="B463">
        <v>4</v>
      </c>
      <c r="C463">
        <v>2.33</v>
      </c>
      <c r="D463">
        <v>3</v>
      </c>
      <c r="E463">
        <v>18</v>
      </c>
      <c r="F463">
        <v>11</v>
      </c>
      <c r="G463">
        <v>0</v>
      </c>
      <c r="H463">
        <v>10</v>
      </c>
      <c r="I463">
        <v>4</v>
      </c>
    </row>
    <row r="464" spans="1:9" x14ac:dyDescent="0.25">
      <c r="A464" s="18">
        <v>42103</v>
      </c>
      <c r="B464">
        <v>1.33</v>
      </c>
      <c r="C464">
        <v>6</v>
      </c>
      <c r="D464">
        <v>8</v>
      </c>
      <c r="E464">
        <v>22.2</v>
      </c>
      <c r="F464">
        <v>8</v>
      </c>
      <c r="G464">
        <v>0</v>
      </c>
      <c r="H464">
        <v>6</v>
      </c>
      <c r="I464">
        <v>1</v>
      </c>
    </row>
    <row r="465" spans="1:9" x14ac:dyDescent="0.25">
      <c r="A465" s="18">
        <v>42104</v>
      </c>
      <c r="B465">
        <v>9.84</v>
      </c>
      <c r="C465">
        <v>6.5049999999999999</v>
      </c>
      <c r="D465">
        <v>4</v>
      </c>
      <c r="E465">
        <v>65.599999999999994</v>
      </c>
      <c r="F465">
        <v>5</v>
      </c>
      <c r="G465">
        <v>2</v>
      </c>
      <c r="H465">
        <v>8</v>
      </c>
      <c r="I465">
        <v>5</v>
      </c>
    </row>
    <row r="466" spans="1:9" x14ac:dyDescent="0.25">
      <c r="A466" s="18">
        <v>42105</v>
      </c>
      <c r="B466">
        <v>11.68</v>
      </c>
      <c r="C466">
        <v>3</v>
      </c>
      <c r="D466">
        <v>3.4</v>
      </c>
      <c r="E466">
        <v>26</v>
      </c>
      <c r="F466">
        <v>9</v>
      </c>
      <c r="G466">
        <v>0</v>
      </c>
      <c r="H466">
        <v>5</v>
      </c>
      <c r="I466">
        <v>6</v>
      </c>
    </row>
    <row r="467" spans="1:9" x14ac:dyDescent="0.25">
      <c r="A467" s="18">
        <v>42106</v>
      </c>
      <c r="B467">
        <v>3.34</v>
      </c>
      <c r="C467">
        <v>3.34</v>
      </c>
      <c r="D467">
        <v>0</v>
      </c>
      <c r="E467">
        <v>73.5</v>
      </c>
      <c r="F467">
        <v>5</v>
      </c>
      <c r="G467">
        <v>0</v>
      </c>
      <c r="H467">
        <v>0</v>
      </c>
      <c r="I467">
        <v>12.4</v>
      </c>
    </row>
    <row r="468" spans="1:9" x14ac:dyDescent="0.25">
      <c r="A468" s="18">
        <v>42107</v>
      </c>
      <c r="B468">
        <v>6.67</v>
      </c>
      <c r="C468">
        <v>1.34</v>
      </c>
      <c r="D468">
        <v>7</v>
      </c>
      <c r="E468">
        <v>25.2</v>
      </c>
      <c r="F468">
        <v>5</v>
      </c>
      <c r="G468">
        <v>0</v>
      </c>
      <c r="H468">
        <v>3</v>
      </c>
      <c r="I468">
        <v>7</v>
      </c>
    </row>
    <row r="469" spans="1:9" x14ac:dyDescent="0.25">
      <c r="A469" s="18">
        <v>42108</v>
      </c>
      <c r="B469">
        <v>4.66</v>
      </c>
      <c r="C469">
        <v>6.01</v>
      </c>
      <c r="D469">
        <v>7</v>
      </c>
      <c r="E469">
        <v>41.8</v>
      </c>
      <c r="F469">
        <v>5</v>
      </c>
      <c r="G469">
        <v>0</v>
      </c>
      <c r="H469">
        <v>5</v>
      </c>
      <c r="I469">
        <v>2</v>
      </c>
    </row>
    <row r="470" spans="1:9" x14ac:dyDescent="0.25">
      <c r="A470" s="18">
        <v>42109</v>
      </c>
      <c r="B470">
        <v>2</v>
      </c>
      <c r="C470">
        <v>2.33</v>
      </c>
      <c r="D470">
        <v>3</v>
      </c>
      <c r="E470">
        <v>29.25</v>
      </c>
      <c r="F470">
        <v>15</v>
      </c>
      <c r="G470">
        <v>0</v>
      </c>
      <c r="H470">
        <v>0</v>
      </c>
      <c r="I470">
        <v>2</v>
      </c>
    </row>
    <row r="471" spans="1:9" x14ac:dyDescent="0.25">
      <c r="A471" s="18">
        <v>42110</v>
      </c>
      <c r="B471">
        <v>2.34</v>
      </c>
      <c r="C471">
        <v>1</v>
      </c>
      <c r="D471">
        <v>7.2</v>
      </c>
      <c r="E471">
        <v>30.6</v>
      </c>
      <c r="F471">
        <v>7</v>
      </c>
      <c r="G471">
        <v>0</v>
      </c>
      <c r="H471">
        <v>9</v>
      </c>
      <c r="I471">
        <v>4</v>
      </c>
    </row>
    <row r="472" spans="1:9" x14ac:dyDescent="0.25">
      <c r="A472" s="18">
        <v>42111</v>
      </c>
      <c r="B472">
        <v>9.33</v>
      </c>
      <c r="C472">
        <v>3.66</v>
      </c>
      <c r="D472">
        <v>3</v>
      </c>
      <c r="E472">
        <v>29.65</v>
      </c>
      <c r="F472">
        <v>6</v>
      </c>
      <c r="G472">
        <v>0</v>
      </c>
      <c r="H472">
        <v>1</v>
      </c>
      <c r="I472">
        <v>5</v>
      </c>
    </row>
    <row r="473" spans="1:9" x14ac:dyDescent="0.25">
      <c r="A473" s="18">
        <v>42112</v>
      </c>
      <c r="B473">
        <v>7.33</v>
      </c>
      <c r="C473">
        <v>3</v>
      </c>
      <c r="D473">
        <v>1</v>
      </c>
      <c r="E473">
        <v>31.3</v>
      </c>
      <c r="F473">
        <v>1</v>
      </c>
      <c r="G473">
        <v>0</v>
      </c>
      <c r="H473">
        <v>1</v>
      </c>
      <c r="I473">
        <v>4</v>
      </c>
    </row>
    <row r="474" spans="1:9" x14ac:dyDescent="0.25">
      <c r="A474" s="18">
        <v>42113</v>
      </c>
      <c r="B474">
        <v>9.32</v>
      </c>
      <c r="C474">
        <v>5.5279999999999996</v>
      </c>
      <c r="D474">
        <v>3.8</v>
      </c>
      <c r="E474">
        <v>36.5</v>
      </c>
      <c r="F474">
        <v>3</v>
      </c>
      <c r="G474">
        <v>0</v>
      </c>
      <c r="H474">
        <v>0</v>
      </c>
      <c r="I474">
        <v>2</v>
      </c>
    </row>
    <row r="475" spans="1:9" x14ac:dyDescent="0.25">
      <c r="A475" s="18">
        <v>42114</v>
      </c>
      <c r="B475">
        <v>3</v>
      </c>
      <c r="C475">
        <v>5.0430000000000001</v>
      </c>
      <c r="D475">
        <v>3.7</v>
      </c>
      <c r="E475">
        <v>38</v>
      </c>
      <c r="F475">
        <v>13</v>
      </c>
      <c r="G475">
        <v>0</v>
      </c>
      <c r="H475">
        <v>1</v>
      </c>
      <c r="I475">
        <v>3</v>
      </c>
    </row>
    <row r="476" spans="1:9" x14ac:dyDescent="0.25">
      <c r="A476" s="18">
        <v>42115</v>
      </c>
      <c r="B476">
        <v>6.33</v>
      </c>
      <c r="C476">
        <v>1</v>
      </c>
      <c r="D476">
        <v>2</v>
      </c>
      <c r="E476">
        <v>35.200000000000003</v>
      </c>
      <c r="F476">
        <v>9</v>
      </c>
      <c r="G476">
        <v>0</v>
      </c>
      <c r="H476">
        <v>0</v>
      </c>
      <c r="I476">
        <v>6</v>
      </c>
    </row>
    <row r="477" spans="1:9" x14ac:dyDescent="0.25">
      <c r="A477" s="18">
        <v>42116</v>
      </c>
      <c r="B477">
        <v>1.33</v>
      </c>
      <c r="C477">
        <v>4.6269999999999998</v>
      </c>
      <c r="D477">
        <v>3.2</v>
      </c>
      <c r="E477">
        <v>32</v>
      </c>
      <c r="F477">
        <v>3</v>
      </c>
      <c r="G477">
        <v>0</v>
      </c>
      <c r="H477">
        <v>1</v>
      </c>
      <c r="I477">
        <v>2</v>
      </c>
    </row>
    <row r="478" spans="1:9" x14ac:dyDescent="0.25">
      <c r="A478" s="18">
        <v>42117</v>
      </c>
      <c r="B478">
        <v>4</v>
      </c>
      <c r="C478">
        <v>1</v>
      </c>
      <c r="D478">
        <v>1</v>
      </c>
      <c r="E478">
        <v>28.2</v>
      </c>
      <c r="F478">
        <v>8</v>
      </c>
      <c r="G478">
        <v>0</v>
      </c>
      <c r="H478">
        <v>1</v>
      </c>
      <c r="I478">
        <v>4</v>
      </c>
    </row>
    <row r="479" spans="1:9" x14ac:dyDescent="0.25">
      <c r="A479" s="18">
        <v>42118</v>
      </c>
      <c r="B479">
        <v>10</v>
      </c>
      <c r="C479">
        <v>1</v>
      </c>
      <c r="D479">
        <v>4</v>
      </c>
      <c r="E479">
        <v>30</v>
      </c>
      <c r="F479">
        <v>5</v>
      </c>
      <c r="G479">
        <v>0</v>
      </c>
      <c r="H479">
        <v>1</v>
      </c>
      <c r="I479">
        <v>5</v>
      </c>
    </row>
    <row r="480" spans="1:9" x14ac:dyDescent="0.25">
      <c r="A480" s="18">
        <v>42119</v>
      </c>
      <c r="B480">
        <v>5</v>
      </c>
      <c r="C480">
        <v>3.165</v>
      </c>
      <c r="D480">
        <v>8</v>
      </c>
      <c r="E480">
        <v>38.1</v>
      </c>
      <c r="F480">
        <v>3</v>
      </c>
      <c r="G480">
        <v>0</v>
      </c>
      <c r="H480">
        <v>1</v>
      </c>
      <c r="I480">
        <v>3</v>
      </c>
    </row>
    <row r="481" spans="1:9" x14ac:dyDescent="0.25">
      <c r="A481" s="18">
        <v>42120</v>
      </c>
      <c r="B481">
        <v>7</v>
      </c>
      <c r="C481">
        <v>6</v>
      </c>
      <c r="D481">
        <v>3</v>
      </c>
      <c r="E481">
        <v>37.6</v>
      </c>
      <c r="F481">
        <v>5</v>
      </c>
      <c r="G481">
        <v>0</v>
      </c>
      <c r="H481">
        <v>1</v>
      </c>
      <c r="I481">
        <v>1</v>
      </c>
    </row>
    <row r="482" spans="1:9" x14ac:dyDescent="0.25">
      <c r="A482" s="18">
        <v>42121</v>
      </c>
      <c r="B482">
        <v>3</v>
      </c>
      <c r="C482">
        <v>0.78</v>
      </c>
      <c r="D482">
        <v>4</v>
      </c>
      <c r="E482">
        <v>43</v>
      </c>
      <c r="F482">
        <v>10</v>
      </c>
      <c r="G482">
        <v>0</v>
      </c>
      <c r="H482">
        <v>0</v>
      </c>
      <c r="I482">
        <v>10</v>
      </c>
    </row>
    <row r="483" spans="1:9" x14ac:dyDescent="0.25">
      <c r="A483" s="18">
        <v>42122</v>
      </c>
      <c r="B483">
        <v>4.33</v>
      </c>
      <c r="C483">
        <v>4.67</v>
      </c>
      <c r="D483">
        <v>3.1</v>
      </c>
      <c r="E483">
        <v>15.2</v>
      </c>
      <c r="F483">
        <v>7</v>
      </c>
      <c r="G483">
        <v>0</v>
      </c>
      <c r="H483">
        <v>5</v>
      </c>
      <c r="I483">
        <v>6</v>
      </c>
    </row>
    <row r="484" spans="1:9" x14ac:dyDescent="0.25">
      <c r="A484" s="18">
        <v>42123</v>
      </c>
      <c r="B484">
        <v>2</v>
      </c>
      <c r="C484">
        <v>0.43</v>
      </c>
      <c r="D484">
        <v>4.2</v>
      </c>
      <c r="E484">
        <v>27.6</v>
      </c>
      <c r="F484">
        <v>2</v>
      </c>
      <c r="G484">
        <v>0</v>
      </c>
      <c r="H484">
        <v>11</v>
      </c>
      <c r="I484">
        <v>3</v>
      </c>
    </row>
    <row r="485" spans="1:9" x14ac:dyDescent="0.25">
      <c r="A485" s="18">
        <v>42124</v>
      </c>
      <c r="B485">
        <v>3</v>
      </c>
      <c r="C485">
        <v>8.7270000000000003</v>
      </c>
      <c r="D485">
        <v>2.6</v>
      </c>
      <c r="E485">
        <v>32.6</v>
      </c>
      <c r="F485">
        <v>7</v>
      </c>
      <c r="G485">
        <v>0</v>
      </c>
      <c r="H485">
        <v>3</v>
      </c>
      <c r="I485">
        <v>7</v>
      </c>
    </row>
    <row r="486" spans="1:9" x14ac:dyDescent="0.25">
      <c r="A486" s="18">
        <v>42125</v>
      </c>
      <c r="B486">
        <v>5.34</v>
      </c>
      <c r="C486">
        <v>1.68</v>
      </c>
      <c r="D486">
        <v>4.9400000000000004</v>
      </c>
      <c r="E486">
        <v>11.4</v>
      </c>
      <c r="F486">
        <v>4</v>
      </c>
      <c r="G486">
        <v>0</v>
      </c>
      <c r="H486">
        <v>0</v>
      </c>
      <c r="I486">
        <v>4.7</v>
      </c>
    </row>
    <row r="487" spans="1:9" x14ac:dyDescent="0.25">
      <c r="A487" s="18">
        <v>42126</v>
      </c>
      <c r="B487">
        <v>5</v>
      </c>
      <c r="C487">
        <v>3.66</v>
      </c>
      <c r="D487">
        <v>3</v>
      </c>
      <c r="E487">
        <v>47.8</v>
      </c>
      <c r="F487">
        <v>6</v>
      </c>
      <c r="G487">
        <v>2</v>
      </c>
      <c r="H487">
        <v>0</v>
      </c>
      <c r="I487">
        <v>5</v>
      </c>
    </row>
    <row r="488" spans="1:9" x14ac:dyDescent="0.25">
      <c r="A488" s="18">
        <v>42127</v>
      </c>
      <c r="B488">
        <v>6.67</v>
      </c>
      <c r="C488">
        <v>1.0660000000000001</v>
      </c>
      <c r="D488">
        <v>2.1</v>
      </c>
      <c r="E488">
        <v>19.2</v>
      </c>
      <c r="F488">
        <v>4</v>
      </c>
      <c r="G488">
        <v>0</v>
      </c>
      <c r="H488">
        <v>1</v>
      </c>
      <c r="I488">
        <v>6</v>
      </c>
    </row>
    <row r="489" spans="1:9" x14ac:dyDescent="0.25">
      <c r="A489" s="18">
        <v>42128</v>
      </c>
      <c r="B489">
        <v>4</v>
      </c>
      <c r="C489">
        <v>4.7229999999999999</v>
      </c>
      <c r="D489">
        <v>8.6</v>
      </c>
      <c r="E489">
        <v>36</v>
      </c>
      <c r="F489">
        <v>5</v>
      </c>
      <c r="G489">
        <v>1</v>
      </c>
      <c r="H489">
        <v>10</v>
      </c>
      <c r="I489">
        <v>3.3</v>
      </c>
    </row>
    <row r="490" spans="1:9" x14ac:dyDescent="0.25">
      <c r="A490" s="18">
        <v>42129</v>
      </c>
      <c r="B490">
        <v>3.34</v>
      </c>
      <c r="C490">
        <v>3.4620000000000002</v>
      </c>
      <c r="D490">
        <v>2</v>
      </c>
      <c r="E490">
        <v>19</v>
      </c>
      <c r="F490">
        <v>6</v>
      </c>
      <c r="G490">
        <v>0</v>
      </c>
      <c r="H490">
        <v>5</v>
      </c>
      <c r="I490">
        <v>2.5</v>
      </c>
    </row>
    <row r="491" spans="1:9" x14ac:dyDescent="0.25">
      <c r="A491" s="18">
        <v>42130</v>
      </c>
      <c r="B491">
        <v>4.66</v>
      </c>
      <c r="C491">
        <v>6.4969999999999999</v>
      </c>
      <c r="D491">
        <v>2</v>
      </c>
      <c r="E491">
        <v>40.200000000000003</v>
      </c>
      <c r="F491">
        <v>11</v>
      </c>
      <c r="G491">
        <v>0</v>
      </c>
      <c r="H491">
        <v>0</v>
      </c>
      <c r="I491">
        <v>6</v>
      </c>
    </row>
    <row r="492" spans="1:9" x14ac:dyDescent="0.25">
      <c r="A492" s="18">
        <v>42131</v>
      </c>
      <c r="B492">
        <v>2</v>
      </c>
      <c r="C492">
        <v>3.34</v>
      </c>
      <c r="D492">
        <v>2</v>
      </c>
      <c r="E492">
        <v>21</v>
      </c>
      <c r="F492">
        <v>4</v>
      </c>
      <c r="G492">
        <v>1</v>
      </c>
      <c r="H492">
        <v>5</v>
      </c>
      <c r="I492">
        <v>10</v>
      </c>
    </row>
    <row r="493" spans="1:9" x14ac:dyDescent="0.25">
      <c r="A493" s="18">
        <v>42132</v>
      </c>
      <c r="B493">
        <v>1</v>
      </c>
      <c r="C493">
        <v>6.34</v>
      </c>
      <c r="D493">
        <v>5</v>
      </c>
      <c r="E493">
        <v>16</v>
      </c>
      <c r="F493">
        <v>8</v>
      </c>
      <c r="G493">
        <v>0</v>
      </c>
      <c r="H493">
        <v>4</v>
      </c>
      <c r="I493">
        <v>1</v>
      </c>
    </row>
    <row r="494" spans="1:9" x14ac:dyDescent="0.25">
      <c r="A494" s="18">
        <v>42133</v>
      </c>
      <c r="B494">
        <v>3.66</v>
      </c>
      <c r="C494">
        <v>4.34</v>
      </c>
      <c r="D494">
        <v>7.4</v>
      </c>
      <c r="E494">
        <v>21</v>
      </c>
      <c r="F494">
        <v>11</v>
      </c>
      <c r="G494">
        <v>1</v>
      </c>
      <c r="H494">
        <v>1</v>
      </c>
      <c r="I494">
        <v>6</v>
      </c>
    </row>
    <row r="495" spans="1:9" x14ac:dyDescent="0.25">
      <c r="A495" s="18">
        <v>42134</v>
      </c>
      <c r="B495">
        <v>3.34</v>
      </c>
      <c r="C495">
        <v>5.4269999999999996</v>
      </c>
      <c r="D495">
        <v>3.8</v>
      </c>
      <c r="E495">
        <v>13</v>
      </c>
      <c r="F495">
        <v>3</v>
      </c>
      <c r="G495">
        <v>0</v>
      </c>
      <c r="H495">
        <v>1</v>
      </c>
      <c r="I495">
        <v>10</v>
      </c>
    </row>
    <row r="496" spans="1:9" x14ac:dyDescent="0.25">
      <c r="A496" s="18">
        <v>42135</v>
      </c>
      <c r="B496">
        <v>3.33</v>
      </c>
      <c r="C496">
        <v>6.66</v>
      </c>
      <c r="D496">
        <v>5.9</v>
      </c>
      <c r="E496">
        <v>21</v>
      </c>
      <c r="F496">
        <v>3</v>
      </c>
      <c r="G496">
        <v>0</v>
      </c>
      <c r="H496">
        <v>6</v>
      </c>
      <c r="I496">
        <v>4</v>
      </c>
    </row>
    <row r="497" spans="1:9" x14ac:dyDescent="0.25">
      <c r="A497" s="18">
        <v>42136</v>
      </c>
      <c r="B497">
        <v>7.33</v>
      </c>
      <c r="C497">
        <v>1.99</v>
      </c>
      <c r="D497">
        <v>8.1999999999999993</v>
      </c>
      <c r="E497">
        <v>22.95</v>
      </c>
      <c r="F497">
        <v>13</v>
      </c>
      <c r="G497">
        <v>0</v>
      </c>
      <c r="H497">
        <v>0</v>
      </c>
      <c r="I497">
        <v>8</v>
      </c>
    </row>
    <row r="498" spans="1:9" x14ac:dyDescent="0.25">
      <c r="A498" s="18">
        <v>42137</v>
      </c>
      <c r="B498">
        <v>8</v>
      </c>
      <c r="C498">
        <v>3.44</v>
      </c>
      <c r="D498">
        <v>9</v>
      </c>
      <c r="E498">
        <v>28.4</v>
      </c>
      <c r="F498">
        <v>5</v>
      </c>
      <c r="G498">
        <v>0</v>
      </c>
      <c r="H498">
        <v>2</v>
      </c>
      <c r="I498">
        <v>4.5</v>
      </c>
    </row>
    <row r="499" spans="1:9" x14ac:dyDescent="0.25">
      <c r="A499" s="18">
        <v>42138</v>
      </c>
      <c r="B499">
        <v>3</v>
      </c>
      <c r="C499">
        <v>5.0670000000000002</v>
      </c>
      <c r="D499">
        <v>3</v>
      </c>
      <c r="E499">
        <v>14</v>
      </c>
      <c r="F499">
        <v>1</v>
      </c>
      <c r="G499">
        <v>0</v>
      </c>
      <c r="H499">
        <v>0</v>
      </c>
      <c r="I499">
        <v>5</v>
      </c>
    </row>
    <row r="500" spans="1:9" x14ac:dyDescent="0.25">
      <c r="A500" s="18">
        <v>42139</v>
      </c>
      <c r="B500">
        <v>3.34</v>
      </c>
      <c r="C500">
        <v>6.53</v>
      </c>
      <c r="D500">
        <v>4.3</v>
      </c>
      <c r="E500">
        <v>48.4</v>
      </c>
      <c r="F500">
        <v>8</v>
      </c>
      <c r="G500">
        <v>0</v>
      </c>
      <c r="H500">
        <v>4</v>
      </c>
      <c r="I500">
        <v>3.2</v>
      </c>
    </row>
    <row r="501" spans="1:9" x14ac:dyDescent="0.25">
      <c r="A501" s="18">
        <v>42140</v>
      </c>
      <c r="B501">
        <v>5</v>
      </c>
      <c r="C501">
        <v>4.0659999999999998</v>
      </c>
      <c r="D501">
        <v>4.0999999999999996</v>
      </c>
      <c r="E501">
        <v>40.4</v>
      </c>
      <c r="F501">
        <v>4</v>
      </c>
      <c r="G501">
        <v>0</v>
      </c>
      <c r="H501">
        <v>0</v>
      </c>
      <c r="I501">
        <v>4</v>
      </c>
    </row>
    <row r="502" spans="1:9" x14ac:dyDescent="0.25">
      <c r="A502" s="18">
        <v>42141</v>
      </c>
      <c r="B502">
        <v>5</v>
      </c>
      <c r="C502">
        <v>3.33</v>
      </c>
      <c r="D502">
        <v>5</v>
      </c>
      <c r="E502">
        <v>23.2</v>
      </c>
      <c r="F502">
        <v>0</v>
      </c>
      <c r="G502">
        <v>0</v>
      </c>
      <c r="H502">
        <v>0</v>
      </c>
      <c r="I502">
        <v>8</v>
      </c>
    </row>
    <row r="503" spans="1:9" x14ac:dyDescent="0.25">
      <c r="A503" s="18">
        <v>42142</v>
      </c>
      <c r="B503">
        <v>7</v>
      </c>
      <c r="C503">
        <v>2.7130000000000001</v>
      </c>
      <c r="D503">
        <v>5.2</v>
      </c>
      <c r="E503">
        <v>21.4</v>
      </c>
      <c r="F503">
        <v>6</v>
      </c>
      <c r="G503">
        <v>1</v>
      </c>
      <c r="H503">
        <v>2</v>
      </c>
      <c r="I503">
        <v>2.2000000000000002</v>
      </c>
    </row>
    <row r="504" spans="1:9" x14ac:dyDescent="0.25">
      <c r="A504" s="18">
        <v>42143</v>
      </c>
      <c r="B504">
        <v>3</v>
      </c>
      <c r="C504">
        <v>1.66</v>
      </c>
      <c r="D504">
        <v>3</v>
      </c>
      <c r="E504">
        <v>20</v>
      </c>
      <c r="F504">
        <v>8</v>
      </c>
      <c r="G504">
        <v>0</v>
      </c>
      <c r="H504">
        <v>0</v>
      </c>
      <c r="I504">
        <v>3</v>
      </c>
    </row>
    <row r="505" spans="1:9" x14ac:dyDescent="0.25">
      <c r="A505" s="18">
        <v>42144</v>
      </c>
      <c r="B505">
        <v>5.67</v>
      </c>
      <c r="C505">
        <v>6.4649999999999999</v>
      </c>
      <c r="D505">
        <v>2</v>
      </c>
      <c r="E505">
        <v>17</v>
      </c>
      <c r="F505">
        <v>12</v>
      </c>
      <c r="G505">
        <v>1</v>
      </c>
      <c r="H505">
        <v>5</v>
      </c>
      <c r="I505">
        <v>6</v>
      </c>
    </row>
    <row r="506" spans="1:9" x14ac:dyDescent="0.25">
      <c r="A506" s="18">
        <v>42145</v>
      </c>
      <c r="B506">
        <v>6</v>
      </c>
      <c r="C506">
        <v>1.9570000000000001</v>
      </c>
      <c r="D506">
        <v>3</v>
      </c>
      <c r="E506">
        <v>10</v>
      </c>
      <c r="F506">
        <v>5</v>
      </c>
      <c r="G506">
        <v>0</v>
      </c>
      <c r="H506">
        <v>1</v>
      </c>
      <c r="I506">
        <v>3.3</v>
      </c>
    </row>
    <row r="507" spans="1:9" x14ac:dyDescent="0.25">
      <c r="A507" s="18">
        <v>42146</v>
      </c>
      <c r="B507">
        <v>3</v>
      </c>
      <c r="C507">
        <v>0.19800000000000001</v>
      </c>
      <c r="D507">
        <v>2</v>
      </c>
      <c r="E507">
        <v>15</v>
      </c>
      <c r="F507">
        <v>8</v>
      </c>
      <c r="G507">
        <v>0</v>
      </c>
      <c r="H507">
        <v>0</v>
      </c>
      <c r="I507">
        <v>7</v>
      </c>
    </row>
    <row r="508" spans="1:9" x14ac:dyDescent="0.25">
      <c r="A508" s="18">
        <v>42147</v>
      </c>
      <c r="B508">
        <v>5.68</v>
      </c>
      <c r="C508">
        <v>2.69</v>
      </c>
      <c r="D508">
        <v>5</v>
      </c>
      <c r="E508">
        <v>23.45</v>
      </c>
      <c r="F508">
        <v>10</v>
      </c>
      <c r="G508">
        <v>0</v>
      </c>
      <c r="H508">
        <v>2</v>
      </c>
      <c r="I508">
        <v>7</v>
      </c>
    </row>
    <row r="509" spans="1:9" x14ac:dyDescent="0.25">
      <c r="A509" s="18">
        <v>42148</v>
      </c>
      <c r="B509">
        <v>5.33</v>
      </c>
      <c r="C509">
        <v>7.7690000000000001</v>
      </c>
      <c r="D509">
        <v>3</v>
      </c>
      <c r="E509">
        <v>20</v>
      </c>
      <c r="F509">
        <v>5</v>
      </c>
      <c r="G509">
        <v>0</v>
      </c>
      <c r="H509">
        <v>0</v>
      </c>
      <c r="I509">
        <v>1.3</v>
      </c>
    </row>
    <row r="510" spans="1:9" x14ac:dyDescent="0.25">
      <c r="A510" s="18">
        <v>42149</v>
      </c>
      <c r="B510">
        <v>9.66</v>
      </c>
      <c r="C510">
        <v>3.33</v>
      </c>
      <c r="D510">
        <v>4</v>
      </c>
      <c r="E510">
        <v>30</v>
      </c>
      <c r="F510">
        <v>11</v>
      </c>
      <c r="G510">
        <v>3</v>
      </c>
      <c r="H510">
        <v>0</v>
      </c>
      <c r="I510">
        <v>3</v>
      </c>
    </row>
    <row r="511" spans="1:9" x14ac:dyDescent="0.25">
      <c r="A511" s="18">
        <v>42150</v>
      </c>
      <c r="B511">
        <v>7.34</v>
      </c>
      <c r="C511">
        <v>3.34</v>
      </c>
      <c r="D511">
        <v>4.5</v>
      </c>
      <c r="E511">
        <v>27</v>
      </c>
      <c r="F511">
        <v>11</v>
      </c>
      <c r="G511">
        <v>0</v>
      </c>
      <c r="H511">
        <v>22</v>
      </c>
      <c r="I511">
        <v>10</v>
      </c>
    </row>
    <row r="512" spans="1:9" x14ac:dyDescent="0.25">
      <c r="A512" s="18">
        <v>42151</v>
      </c>
      <c r="B512">
        <v>4</v>
      </c>
      <c r="C512">
        <v>2.66</v>
      </c>
      <c r="D512">
        <v>2</v>
      </c>
      <c r="E512">
        <v>24.2</v>
      </c>
      <c r="F512">
        <v>7</v>
      </c>
      <c r="G512">
        <v>0</v>
      </c>
      <c r="H512">
        <v>0</v>
      </c>
      <c r="I512">
        <v>1</v>
      </c>
    </row>
    <row r="513" spans="1:9" x14ac:dyDescent="0.25">
      <c r="A513" s="18">
        <v>42152</v>
      </c>
      <c r="B513">
        <v>6</v>
      </c>
      <c r="C513">
        <v>2.33</v>
      </c>
      <c r="D513">
        <v>6.7</v>
      </c>
      <c r="E513">
        <v>17.100000000000001</v>
      </c>
      <c r="F513">
        <v>3</v>
      </c>
      <c r="G513">
        <v>0</v>
      </c>
      <c r="H513">
        <v>20</v>
      </c>
      <c r="I513">
        <v>3</v>
      </c>
    </row>
    <row r="514" spans="1:9" x14ac:dyDescent="0.25">
      <c r="A514" s="18">
        <v>42153</v>
      </c>
      <c r="B514">
        <v>6.33</v>
      </c>
      <c r="C514">
        <v>5.01</v>
      </c>
      <c r="D514">
        <v>3</v>
      </c>
      <c r="E514">
        <v>41.8</v>
      </c>
      <c r="F514">
        <v>6</v>
      </c>
      <c r="G514">
        <v>0</v>
      </c>
      <c r="H514">
        <v>5</v>
      </c>
      <c r="I514">
        <v>3</v>
      </c>
    </row>
    <row r="515" spans="1:9" x14ac:dyDescent="0.25">
      <c r="A515" s="18">
        <v>42154</v>
      </c>
      <c r="B515">
        <v>14</v>
      </c>
      <c r="C515">
        <v>2.68</v>
      </c>
      <c r="D515">
        <v>6</v>
      </c>
      <c r="E515">
        <v>24.5</v>
      </c>
      <c r="F515">
        <v>4</v>
      </c>
      <c r="G515">
        <v>0</v>
      </c>
      <c r="H515">
        <v>4</v>
      </c>
      <c r="I515">
        <v>8</v>
      </c>
    </row>
    <row r="516" spans="1:9" x14ac:dyDescent="0.25">
      <c r="A516" s="18">
        <v>42155</v>
      </c>
      <c r="B516">
        <v>3</v>
      </c>
      <c r="C516">
        <v>4.6970000000000001</v>
      </c>
      <c r="D516">
        <v>6.3</v>
      </c>
      <c r="E516">
        <v>31.5</v>
      </c>
      <c r="F516">
        <v>2</v>
      </c>
      <c r="G516">
        <v>0</v>
      </c>
      <c r="H516">
        <v>0</v>
      </c>
      <c r="I516">
        <v>10.5</v>
      </c>
    </row>
    <row r="517" spans="1:9" x14ac:dyDescent="0.25">
      <c r="A517" s="18">
        <v>42156</v>
      </c>
      <c r="B517">
        <v>4.66</v>
      </c>
      <c r="C517">
        <v>5</v>
      </c>
      <c r="D517">
        <v>2.5</v>
      </c>
      <c r="E517">
        <v>23.55</v>
      </c>
      <c r="F517">
        <v>12</v>
      </c>
      <c r="G517">
        <v>0</v>
      </c>
      <c r="H517">
        <v>2</v>
      </c>
      <c r="I517">
        <v>3</v>
      </c>
    </row>
    <row r="518" spans="1:9" x14ac:dyDescent="0.25">
      <c r="A518" s="18">
        <v>42157</v>
      </c>
      <c r="B518">
        <v>8.33</v>
      </c>
      <c r="C518">
        <v>8</v>
      </c>
      <c r="D518">
        <v>7.9</v>
      </c>
      <c r="E518">
        <v>24</v>
      </c>
      <c r="F518">
        <v>10</v>
      </c>
      <c r="G518">
        <v>4</v>
      </c>
      <c r="H518">
        <v>3</v>
      </c>
      <c r="I518">
        <v>6</v>
      </c>
    </row>
    <row r="519" spans="1:9" x14ac:dyDescent="0.25">
      <c r="A519" s="18">
        <v>42158</v>
      </c>
      <c r="B519">
        <v>5</v>
      </c>
      <c r="C519">
        <v>1.66</v>
      </c>
      <c r="D519">
        <v>5.3</v>
      </c>
      <c r="E519">
        <v>30</v>
      </c>
      <c r="F519">
        <v>9</v>
      </c>
      <c r="G519">
        <v>0</v>
      </c>
      <c r="H519">
        <v>6</v>
      </c>
      <c r="I519">
        <v>2</v>
      </c>
    </row>
    <row r="520" spans="1:9" x14ac:dyDescent="0.25">
      <c r="A520" s="18">
        <v>42159</v>
      </c>
      <c r="B520">
        <v>2.33</v>
      </c>
      <c r="C520">
        <v>4</v>
      </c>
      <c r="D520">
        <v>3</v>
      </c>
      <c r="E520">
        <v>20</v>
      </c>
      <c r="F520">
        <v>5</v>
      </c>
      <c r="G520">
        <v>0</v>
      </c>
      <c r="H520">
        <v>2</v>
      </c>
      <c r="I520">
        <v>2</v>
      </c>
    </row>
    <row r="521" spans="1:9" x14ac:dyDescent="0.25">
      <c r="A521" s="18">
        <v>42160</v>
      </c>
      <c r="B521">
        <v>5</v>
      </c>
      <c r="C521">
        <v>0.67</v>
      </c>
      <c r="D521">
        <v>5</v>
      </c>
      <c r="E521">
        <v>13</v>
      </c>
      <c r="F521">
        <v>6</v>
      </c>
      <c r="G521">
        <v>0</v>
      </c>
      <c r="H521">
        <v>1</v>
      </c>
      <c r="I521">
        <v>7</v>
      </c>
    </row>
    <row r="522" spans="1:9" x14ac:dyDescent="0.25">
      <c r="A522" s="18">
        <v>42161</v>
      </c>
      <c r="B522">
        <v>3.68</v>
      </c>
      <c r="C522">
        <v>3.68</v>
      </c>
      <c r="D522">
        <v>2</v>
      </c>
      <c r="E522">
        <v>16</v>
      </c>
      <c r="F522">
        <v>6</v>
      </c>
      <c r="G522">
        <v>0</v>
      </c>
      <c r="H522">
        <v>17</v>
      </c>
      <c r="I522">
        <v>2</v>
      </c>
    </row>
    <row r="523" spans="1:9" x14ac:dyDescent="0.25">
      <c r="A523" s="18">
        <v>42162</v>
      </c>
      <c r="B523">
        <v>6.34</v>
      </c>
      <c r="C523">
        <v>5.01</v>
      </c>
      <c r="D523">
        <v>2</v>
      </c>
      <c r="E523">
        <v>17</v>
      </c>
      <c r="F523">
        <v>6</v>
      </c>
      <c r="G523">
        <v>1</v>
      </c>
      <c r="H523">
        <v>22</v>
      </c>
      <c r="I523">
        <v>6</v>
      </c>
    </row>
    <row r="524" spans="1:9" x14ac:dyDescent="0.25">
      <c r="A524" s="18">
        <v>42163</v>
      </c>
      <c r="B524">
        <v>6</v>
      </c>
      <c r="C524">
        <v>5.66</v>
      </c>
      <c r="D524">
        <v>2.5</v>
      </c>
      <c r="E524">
        <v>31</v>
      </c>
      <c r="F524">
        <v>10</v>
      </c>
      <c r="G524">
        <v>1</v>
      </c>
      <c r="H524">
        <v>3</v>
      </c>
      <c r="I524">
        <v>7</v>
      </c>
    </row>
    <row r="525" spans="1:9" x14ac:dyDescent="0.25">
      <c r="A525" s="18">
        <v>42164</v>
      </c>
      <c r="B525">
        <v>3</v>
      </c>
      <c r="C525">
        <v>4</v>
      </c>
      <c r="D525">
        <v>4</v>
      </c>
      <c r="E525">
        <v>26.6</v>
      </c>
      <c r="F525">
        <v>14</v>
      </c>
      <c r="G525">
        <v>0</v>
      </c>
      <c r="H525">
        <v>0</v>
      </c>
      <c r="I525">
        <v>4.5999999999999996</v>
      </c>
    </row>
    <row r="526" spans="1:9" x14ac:dyDescent="0.25">
      <c r="A526" s="18">
        <v>42165</v>
      </c>
      <c r="B526">
        <v>4.34</v>
      </c>
      <c r="C526">
        <v>3.01</v>
      </c>
      <c r="D526">
        <v>8</v>
      </c>
      <c r="E526">
        <v>18.675999999999998</v>
      </c>
      <c r="F526">
        <v>6</v>
      </c>
      <c r="G526">
        <v>0</v>
      </c>
      <c r="H526">
        <v>7</v>
      </c>
      <c r="I526">
        <v>2</v>
      </c>
    </row>
    <row r="527" spans="1:9" x14ac:dyDescent="0.25">
      <c r="A527" s="18">
        <v>42166</v>
      </c>
      <c r="B527">
        <v>6</v>
      </c>
      <c r="C527">
        <v>2.33</v>
      </c>
      <c r="D527">
        <v>5.0999999999999996</v>
      </c>
      <c r="E527">
        <v>38.299999999999997</v>
      </c>
      <c r="F527">
        <v>11</v>
      </c>
      <c r="G527">
        <v>0</v>
      </c>
      <c r="H527">
        <v>1</v>
      </c>
      <c r="I527">
        <v>3</v>
      </c>
    </row>
    <row r="528" spans="1:9" x14ac:dyDescent="0.25">
      <c r="A528" s="18">
        <v>42167</v>
      </c>
      <c r="B528">
        <v>1.67</v>
      </c>
      <c r="C528">
        <v>1.66</v>
      </c>
      <c r="D528">
        <v>2</v>
      </c>
      <c r="E528">
        <v>17.5</v>
      </c>
      <c r="F528">
        <v>2</v>
      </c>
      <c r="G528">
        <v>2</v>
      </c>
      <c r="H528">
        <v>0</v>
      </c>
      <c r="I528">
        <v>5</v>
      </c>
    </row>
    <row r="529" spans="1:9" x14ac:dyDescent="0.25">
      <c r="A529" s="18">
        <v>42168</v>
      </c>
      <c r="B529">
        <v>2.33</v>
      </c>
      <c r="C529">
        <v>4.66</v>
      </c>
      <c r="D529">
        <v>7.3</v>
      </c>
      <c r="E529">
        <v>21.4</v>
      </c>
      <c r="F529">
        <v>6</v>
      </c>
      <c r="G529">
        <v>0</v>
      </c>
      <c r="H529">
        <v>12</v>
      </c>
      <c r="I529">
        <v>4</v>
      </c>
    </row>
    <row r="530" spans="1:9" x14ac:dyDescent="0.25">
      <c r="A530" s="18">
        <v>42169</v>
      </c>
      <c r="B530">
        <v>5</v>
      </c>
      <c r="C530">
        <v>3.67</v>
      </c>
      <c r="D530">
        <v>1.6</v>
      </c>
      <c r="E530">
        <v>14</v>
      </c>
      <c r="F530">
        <v>6</v>
      </c>
      <c r="G530">
        <v>0</v>
      </c>
      <c r="H530">
        <v>3</v>
      </c>
      <c r="I530">
        <v>2</v>
      </c>
    </row>
    <row r="531" spans="1:9" x14ac:dyDescent="0.25">
      <c r="A531" s="18">
        <v>42170</v>
      </c>
      <c r="B531">
        <v>4</v>
      </c>
      <c r="C531">
        <v>3.36</v>
      </c>
      <c r="D531">
        <v>5</v>
      </c>
      <c r="E531">
        <v>37</v>
      </c>
      <c r="F531">
        <v>9</v>
      </c>
      <c r="G531">
        <v>0</v>
      </c>
      <c r="H531">
        <v>6</v>
      </c>
      <c r="I531">
        <v>9</v>
      </c>
    </row>
    <row r="532" spans="1:9" x14ac:dyDescent="0.25">
      <c r="A532" s="18">
        <v>42171</v>
      </c>
      <c r="B532">
        <v>7</v>
      </c>
      <c r="C532">
        <v>3.34</v>
      </c>
      <c r="D532">
        <v>4</v>
      </c>
      <c r="E532">
        <v>20</v>
      </c>
      <c r="F532">
        <v>6</v>
      </c>
      <c r="G532">
        <v>0</v>
      </c>
      <c r="H532">
        <v>8</v>
      </c>
      <c r="I532">
        <v>5</v>
      </c>
    </row>
    <row r="533" spans="1:9" x14ac:dyDescent="0.25">
      <c r="A533" s="18">
        <v>42172</v>
      </c>
      <c r="B533">
        <v>3.66</v>
      </c>
      <c r="C533">
        <v>3.32</v>
      </c>
      <c r="D533">
        <v>8.66</v>
      </c>
      <c r="E533">
        <v>24</v>
      </c>
      <c r="F533">
        <v>10</v>
      </c>
      <c r="G533">
        <v>1</v>
      </c>
      <c r="H533">
        <v>20</v>
      </c>
      <c r="I533">
        <v>2</v>
      </c>
    </row>
    <row r="534" spans="1:9" x14ac:dyDescent="0.25">
      <c r="A534" s="18">
        <v>42173</v>
      </c>
      <c r="B534">
        <v>3</v>
      </c>
      <c r="C534">
        <v>5.33</v>
      </c>
      <c r="D534">
        <v>7</v>
      </c>
      <c r="E534">
        <v>24.6</v>
      </c>
      <c r="F534">
        <v>4</v>
      </c>
      <c r="G534">
        <v>0</v>
      </c>
      <c r="H534">
        <v>23</v>
      </c>
      <c r="I534">
        <v>3.6</v>
      </c>
    </row>
    <row r="535" spans="1:9" x14ac:dyDescent="0.25">
      <c r="A535" s="18">
        <v>42174</v>
      </c>
      <c r="B535">
        <v>5.33</v>
      </c>
      <c r="C535">
        <v>4.01</v>
      </c>
      <c r="D535">
        <v>3.1</v>
      </c>
      <c r="E535">
        <v>24</v>
      </c>
      <c r="F535">
        <v>13</v>
      </c>
      <c r="G535">
        <v>2</v>
      </c>
      <c r="H535">
        <v>10</v>
      </c>
      <c r="I535">
        <v>6.3</v>
      </c>
    </row>
    <row r="536" spans="1:9" x14ac:dyDescent="0.25">
      <c r="A536" s="18">
        <v>42175</v>
      </c>
      <c r="B536">
        <v>9.34</v>
      </c>
      <c r="C536">
        <v>3</v>
      </c>
      <c r="D536">
        <v>3</v>
      </c>
      <c r="E536">
        <v>26.8</v>
      </c>
      <c r="F536">
        <v>5</v>
      </c>
      <c r="G536">
        <v>0</v>
      </c>
      <c r="H536">
        <v>10</v>
      </c>
      <c r="I536">
        <v>7</v>
      </c>
    </row>
    <row r="537" spans="1:9" x14ac:dyDescent="0.25">
      <c r="A537" s="18">
        <v>42176</v>
      </c>
      <c r="B537">
        <v>9.34</v>
      </c>
      <c r="C537">
        <v>0.68</v>
      </c>
      <c r="D537">
        <v>5</v>
      </c>
      <c r="E537">
        <v>18</v>
      </c>
      <c r="F537">
        <v>5</v>
      </c>
      <c r="G537">
        <v>0</v>
      </c>
      <c r="H537">
        <v>6</v>
      </c>
      <c r="I537">
        <v>2</v>
      </c>
    </row>
    <row r="538" spans="1:9" x14ac:dyDescent="0.25">
      <c r="A538" s="18">
        <v>42177</v>
      </c>
      <c r="B538">
        <v>5.17</v>
      </c>
      <c r="C538">
        <v>6.99</v>
      </c>
      <c r="D538">
        <v>9.6</v>
      </c>
      <c r="E538">
        <v>29.062000000000001</v>
      </c>
      <c r="F538">
        <v>0</v>
      </c>
      <c r="G538">
        <v>0</v>
      </c>
      <c r="H538">
        <v>1</v>
      </c>
      <c r="I538">
        <v>5</v>
      </c>
    </row>
    <row r="539" spans="1:9" x14ac:dyDescent="0.25">
      <c r="A539" s="18">
        <v>42178</v>
      </c>
      <c r="B539">
        <v>4.67</v>
      </c>
      <c r="C539">
        <v>5.67</v>
      </c>
      <c r="D539">
        <v>3.5</v>
      </c>
      <c r="E539">
        <v>19</v>
      </c>
      <c r="F539">
        <v>7</v>
      </c>
      <c r="G539">
        <v>0</v>
      </c>
      <c r="H539">
        <v>5</v>
      </c>
      <c r="I539">
        <v>5</v>
      </c>
    </row>
    <row r="540" spans="1:9" x14ac:dyDescent="0.25">
      <c r="A540" s="18">
        <v>42179</v>
      </c>
      <c r="B540">
        <v>3.83</v>
      </c>
      <c r="C540">
        <v>4</v>
      </c>
      <c r="D540">
        <v>7</v>
      </c>
      <c r="E540">
        <v>23.8</v>
      </c>
      <c r="F540">
        <v>5</v>
      </c>
      <c r="G540">
        <v>1</v>
      </c>
      <c r="H540">
        <v>4</v>
      </c>
      <c r="I540">
        <v>3</v>
      </c>
    </row>
    <row r="541" spans="1:9" x14ac:dyDescent="0.25">
      <c r="A541" s="18">
        <v>42180</v>
      </c>
      <c r="B541">
        <v>6.33</v>
      </c>
      <c r="C541">
        <v>4.34</v>
      </c>
      <c r="D541">
        <v>6</v>
      </c>
      <c r="E541">
        <v>24.125</v>
      </c>
      <c r="F541">
        <v>4</v>
      </c>
      <c r="G541">
        <v>0</v>
      </c>
      <c r="H541">
        <v>0</v>
      </c>
      <c r="I541">
        <v>3</v>
      </c>
    </row>
    <row r="542" spans="1:9" x14ac:dyDescent="0.25">
      <c r="A542" s="18">
        <v>42181</v>
      </c>
      <c r="B542">
        <v>7.17</v>
      </c>
      <c r="C542">
        <v>0.33</v>
      </c>
      <c r="D542">
        <v>2</v>
      </c>
      <c r="E542">
        <v>29</v>
      </c>
      <c r="F542">
        <v>3</v>
      </c>
      <c r="G542">
        <v>0</v>
      </c>
      <c r="H542">
        <v>1</v>
      </c>
      <c r="I542">
        <v>4</v>
      </c>
    </row>
    <row r="543" spans="1:9" x14ac:dyDescent="0.25">
      <c r="A543" s="18">
        <v>42182</v>
      </c>
      <c r="B543">
        <v>7.33</v>
      </c>
      <c r="C543">
        <v>3.33</v>
      </c>
      <c r="D543">
        <v>6</v>
      </c>
      <c r="E543">
        <v>36</v>
      </c>
      <c r="F543">
        <v>10</v>
      </c>
      <c r="G543">
        <v>0</v>
      </c>
      <c r="H543">
        <v>1</v>
      </c>
      <c r="I543">
        <v>2</v>
      </c>
    </row>
    <row r="544" spans="1:9" x14ac:dyDescent="0.25">
      <c r="A544" s="18">
        <v>42183</v>
      </c>
      <c r="B544">
        <v>5.34</v>
      </c>
      <c r="C544">
        <v>4.6500000000000004</v>
      </c>
      <c r="D544">
        <v>7.4</v>
      </c>
      <c r="E544">
        <v>12</v>
      </c>
      <c r="F544">
        <v>0</v>
      </c>
      <c r="G544">
        <v>0</v>
      </c>
      <c r="H544">
        <v>6</v>
      </c>
      <c r="I544">
        <v>6</v>
      </c>
    </row>
    <row r="545" spans="1:9" x14ac:dyDescent="0.25">
      <c r="A545" s="18">
        <v>42184</v>
      </c>
      <c r="B545">
        <v>5.68</v>
      </c>
      <c r="C545">
        <v>3.66</v>
      </c>
      <c r="D545">
        <v>4</v>
      </c>
      <c r="E545">
        <v>22</v>
      </c>
      <c r="F545">
        <v>15</v>
      </c>
      <c r="G545">
        <v>0</v>
      </c>
      <c r="H545">
        <v>11</v>
      </c>
      <c r="I545">
        <v>3</v>
      </c>
    </row>
    <row r="546" spans="1:9" x14ac:dyDescent="0.25">
      <c r="A546" s="18">
        <v>42185</v>
      </c>
      <c r="B546">
        <v>1</v>
      </c>
      <c r="C546">
        <v>4.67</v>
      </c>
      <c r="D546">
        <v>6</v>
      </c>
      <c r="E546">
        <v>35</v>
      </c>
      <c r="F546">
        <v>12</v>
      </c>
      <c r="G546">
        <v>0</v>
      </c>
      <c r="H546">
        <v>2</v>
      </c>
      <c r="I546">
        <v>4.3</v>
      </c>
    </row>
    <row r="547" spans="1:9" x14ac:dyDescent="0.25">
      <c r="A547" s="18">
        <v>42186</v>
      </c>
      <c r="B547">
        <v>8.83</v>
      </c>
      <c r="C547">
        <v>5.68</v>
      </c>
      <c r="D547">
        <v>5.4</v>
      </c>
      <c r="E547">
        <v>18.25</v>
      </c>
      <c r="F547">
        <v>14</v>
      </c>
      <c r="G547">
        <v>1</v>
      </c>
      <c r="H547">
        <v>12</v>
      </c>
      <c r="I547">
        <v>10</v>
      </c>
    </row>
    <row r="548" spans="1:9" x14ac:dyDescent="0.25">
      <c r="A548" s="18">
        <v>42187</v>
      </c>
      <c r="B548">
        <v>3</v>
      </c>
      <c r="C548">
        <v>2</v>
      </c>
      <c r="D548">
        <v>1</v>
      </c>
      <c r="E548">
        <v>23.15</v>
      </c>
      <c r="F548">
        <v>3</v>
      </c>
      <c r="G548">
        <v>0</v>
      </c>
      <c r="H548">
        <v>1</v>
      </c>
      <c r="I548">
        <v>2</v>
      </c>
    </row>
    <row r="549" spans="1:9" x14ac:dyDescent="0.25">
      <c r="A549" s="18">
        <v>42188</v>
      </c>
      <c r="B549">
        <v>5.5</v>
      </c>
      <c r="C549">
        <v>4.33</v>
      </c>
      <c r="D549">
        <v>3.5</v>
      </c>
      <c r="E549">
        <v>24.5</v>
      </c>
      <c r="F549">
        <v>10</v>
      </c>
      <c r="G549">
        <v>0</v>
      </c>
      <c r="H549">
        <v>8</v>
      </c>
      <c r="I549">
        <v>4</v>
      </c>
    </row>
    <row r="550" spans="1:9" x14ac:dyDescent="0.25">
      <c r="A550" s="18">
        <v>42189</v>
      </c>
      <c r="B550">
        <v>7.35</v>
      </c>
      <c r="C550">
        <v>2.34</v>
      </c>
      <c r="D550">
        <v>4.2</v>
      </c>
      <c r="E550">
        <v>15.2</v>
      </c>
      <c r="F550">
        <v>2</v>
      </c>
      <c r="G550">
        <v>0</v>
      </c>
      <c r="H550">
        <v>0</v>
      </c>
      <c r="I550">
        <v>3</v>
      </c>
    </row>
    <row r="551" spans="1:9" x14ac:dyDescent="0.25">
      <c r="A551" s="18">
        <v>42190</v>
      </c>
      <c r="B551">
        <v>5</v>
      </c>
      <c r="C551">
        <v>4.34</v>
      </c>
      <c r="D551">
        <v>4.2</v>
      </c>
      <c r="E551">
        <v>14</v>
      </c>
      <c r="F551">
        <v>10</v>
      </c>
      <c r="G551">
        <v>0</v>
      </c>
      <c r="H551">
        <v>1</v>
      </c>
      <c r="I551">
        <v>4</v>
      </c>
    </row>
    <row r="552" spans="1:9" x14ac:dyDescent="0.25">
      <c r="A552" s="18">
        <v>42191</v>
      </c>
      <c r="B552">
        <v>5.5</v>
      </c>
      <c r="C552">
        <v>4.68</v>
      </c>
      <c r="D552">
        <v>2</v>
      </c>
      <c r="E552">
        <v>20</v>
      </c>
      <c r="F552">
        <v>8</v>
      </c>
      <c r="G552">
        <v>0</v>
      </c>
      <c r="H552">
        <v>3</v>
      </c>
      <c r="I552">
        <v>3</v>
      </c>
    </row>
    <row r="553" spans="1:9" x14ac:dyDescent="0.25">
      <c r="A553" s="18">
        <v>42192</v>
      </c>
      <c r="B553">
        <v>4.84</v>
      </c>
      <c r="C553">
        <v>4.68</v>
      </c>
      <c r="D553">
        <v>2.2999999999999998</v>
      </c>
      <c r="E553">
        <v>19.600000000000001</v>
      </c>
      <c r="F553">
        <v>5</v>
      </c>
      <c r="G553">
        <v>0</v>
      </c>
      <c r="H553">
        <v>3</v>
      </c>
      <c r="I553">
        <v>7</v>
      </c>
    </row>
    <row r="554" spans="1:9" x14ac:dyDescent="0.25">
      <c r="A554" s="18">
        <v>42193</v>
      </c>
      <c r="B554">
        <v>2</v>
      </c>
      <c r="C554">
        <v>1.35</v>
      </c>
      <c r="D554">
        <v>3</v>
      </c>
      <c r="E554">
        <v>18.600000000000001</v>
      </c>
      <c r="F554">
        <v>6</v>
      </c>
      <c r="G554">
        <v>0</v>
      </c>
      <c r="H554">
        <v>5</v>
      </c>
      <c r="I554">
        <v>3</v>
      </c>
    </row>
    <row r="555" spans="1:9" x14ac:dyDescent="0.25">
      <c r="A555" s="18">
        <v>42194</v>
      </c>
      <c r="B555">
        <v>2.34</v>
      </c>
      <c r="C555">
        <v>1.67</v>
      </c>
      <c r="D555">
        <v>2</v>
      </c>
      <c r="E555">
        <v>32.75</v>
      </c>
      <c r="F555">
        <v>4</v>
      </c>
      <c r="G555">
        <v>0</v>
      </c>
      <c r="H555">
        <v>0</v>
      </c>
      <c r="I555">
        <v>5</v>
      </c>
    </row>
    <row r="556" spans="1:9" x14ac:dyDescent="0.25">
      <c r="A556" s="18">
        <v>42195</v>
      </c>
      <c r="B556">
        <v>5.5</v>
      </c>
      <c r="C556">
        <v>6.34</v>
      </c>
      <c r="D556">
        <v>5</v>
      </c>
      <c r="E556">
        <v>37</v>
      </c>
      <c r="F556">
        <v>15</v>
      </c>
      <c r="G556">
        <v>0</v>
      </c>
      <c r="H556">
        <v>8</v>
      </c>
      <c r="I556">
        <v>6</v>
      </c>
    </row>
    <row r="557" spans="1:9" x14ac:dyDescent="0.25">
      <c r="A557" s="18">
        <v>42196</v>
      </c>
      <c r="B557">
        <v>4</v>
      </c>
      <c r="C557">
        <v>2.33</v>
      </c>
      <c r="D557">
        <v>4.9000000000000004</v>
      </c>
      <c r="E557">
        <v>45</v>
      </c>
      <c r="F557">
        <v>9</v>
      </c>
      <c r="G557">
        <v>0</v>
      </c>
      <c r="H557">
        <v>2</v>
      </c>
      <c r="I557">
        <v>10</v>
      </c>
    </row>
    <row r="558" spans="1:9" x14ac:dyDescent="0.25">
      <c r="A558" s="18">
        <v>42197</v>
      </c>
      <c r="B558">
        <v>6.33</v>
      </c>
      <c r="C558">
        <v>5.33</v>
      </c>
      <c r="D558">
        <v>5</v>
      </c>
      <c r="E558">
        <v>25.3</v>
      </c>
      <c r="F558">
        <v>5</v>
      </c>
      <c r="G558">
        <v>0</v>
      </c>
      <c r="H558">
        <v>0</v>
      </c>
      <c r="I558">
        <v>6.5</v>
      </c>
    </row>
    <row r="559" spans="1:9" x14ac:dyDescent="0.25">
      <c r="A559" s="18">
        <v>42198</v>
      </c>
      <c r="B559">
        <v>3.68</v>
      </c>
      <c r="C559">
        <v>0.66</v>
      </c>
      <c r="D559">
        <v>8</v>
      </c>
      <c r="E559">
        <v>22.55</v>
      </c>
      <c r="F559">
        <v>5</v>
      </c>
      <c r="G559">
        <v>0</v>
      </c>
      <c r="H559">
        <v>0</v>
      </c>
      <c r="I559">
        <v>3</v>
      </c>
    </row>
    <row r="560" spans="1:9" x14ac:dyDescent="0.25">
      <c r="A560" s="18">
        <v>42199</v>
      </c>
      <c r="B560">
        <v>0.34</v>
      </c>
      <c r="C560">
        <v>4.33</v>
      </c>
      <c r="D560">
        <v>5</v>
      </c>
      <c r="E560">
        <v>14</v>
      </c>
      <c r="F560">
        <v>1</v>
      </c>
      <c r="G560">
        <v>0</v>
      </c>
      <c r="H560">
        <v>2</v>
      </c>
      <c r="I560">
        <v>2</v>
      </c>
    </row>
    <row r="561" spans="1:9" x14ac:dyDescent="0.25">
      <c r="A561" s="18">
        <v>42200</v>
      </c>
      <c r="B561">
        <v>8.49</v>
      </c>
      <c r="C561">
        <v>1.66</v>
      </c>
      <c r="D561">
        <v>4</v>
      </c>
      <c r="E561">
        <v>20.2</v>
      </c>
      <c r="F561">
        <v>5</v>
      </c>
      <c r="G561">
        <v>0</v>
      </c>
      <c r="H561">
        <v>1</v>
      </c>
      <c r="I561">
        <v>9</v>
      </c>
    </row>
    <row r="562" spans="1:9" x14ac:dyDescent="0.25">
      <c r="A562" s="18">
        <v>42201</v>
      </c>
      <c r="B562">
        <v>8.34</v>
      </c>
      <c r="C562">
        <v>3.33</v>
      </c>
      <c r="D562">
        <v>1</v>
      </c>
      <c r="E562">
        <v>18</v>
      </c>
      <c r="F562">
        <v>3</v>
      </c>
      <c r="G562">
        <v>0</v>
      </c>
      <c r="H562">
        <v>2</v>
      </c>
      <c r="I562">
        <v>4</v>
      </c>
    </row>
    <row r="563" spans="1:9" x14ac:dyDescent="0.25">
      <c r="A563" s="18">
        <v>42202</v>
      </c>
      <c r="B563">
        <v>2.5</v>
      </c>
      <c r="C563">
        <v>1.33</v>
      </c>
      <c r="D563">
        <v>1</v>
      </c>
      <c r="E563">
        <v>28</v>
      </c>
      <c r="F563">
        <v>3</v>
      </c>
      <c r="G563">
        <v>0</v>
      </c>
      <c r="H563">
        <v>0</v>
      </c>
      <c r="I563">
        <v>2.2999999999999998</v>
      </c>
    </row>
    <row r="564" spans="1:9" x14ac:dyDescent="0.25">
      <c r="A564" s="18">
        <v>42203</v>
      </c>
      <c r="B564">
        <v>3.68</v>
      </c>
      <c r="C564">
        <v>7.38</v>
      </c>
      <c r="D564">
        <v>2</v>
      </c>
      <c r="E564">
        <v>25</v>
      </c>
      <c r="F564">
        <v>8</v>
      </c>
      <c r="G564">
        <v>3</v>
      </c>
      <c r="H564">
        <v>1</v>
      </c>
      <c r="I564">
        <v>3</v>
      </c>
    </row>
    <row r="565" spans="1:9" x14ac:dyDescent="0.25">
      <c r="A565" s="18">
        <v>42204</v>
      </c>
      <c r="B565">
        <v>11.68</v>
      </c>
      <c r="C565">
        <v>1.68</v>
      </c>
      <c r="D565">
        <v>2</v>
      </c>
      <c r="E565">
        <v>15</v>
      </c>
      <c r="F565">
        <v>1</v>
      </c>
      <c r="G565">
        <v>0</v>
      </c>
      <c r="H565">
        <v>1</v>
      </c>
      <c r="I565">
        <v>3</v>
      </c>
    </row>
    <row r="566" spans="1:9" x14ac:dyDescent="0.25">
      <c r="A566" s="18">
        <v>42205</v>
      </c>
      <c r="B566">
        <v>5.84</v>
      </c>
      <c r="C566">
        <v>4.67</v>
      </c>
      <c r="D566">
        <v>5</v>
      </c>
      <c r="E566">
        <v>41</v>
      </c>
      <c r="F566">
        <v>4</v>
      </c>
      <c r="G566">
        <v>0</v>
      </c>
      <c r="H566">
        <v>0</v>
      </c>
      <c r="I566">
        <v>2</v>
      </c>
    </row>
    <row r="567" spans="1:9" x14ac:dyDescent="0.25">
      <c r="A567" s="18">
        <v>42206</v>
      </c>
      <c r="B567">
        <v>4.68</v>
      </c>
      <c r="C567">
        <v>1</v>
      </c>
      <c r="D567">
        <v>3.2</v>
      </c>
      <c r="E567">
        <v>14.25</v>
      </c>
      <c r="F567">
        <v>7</v>
      </c>
      <c r="G567">
        <v>0</v>
      </c>
      <c r="H567">
        <v>1</v>
      </c>
      <c r="I567">
        <v>4</v>
      </c>
    </row>
    <row r="568" spans="1:9" x14ac:dyDescent="0.25">
      <c r="A568" s="18">
        <v>42207</v>
      </c>
      <c r="B568">
        <v>9.33</v>
      </c>
      <c r="C568">
        <v>0.34</v>
      </c>
      <c r="D568">
        <v>5</v>
      </c>
      <c r="E568">
        <v>22</v>
      </c>
      <c r="F568">
        <v>10</v>
      </c>
      <c r="G568">
        <v>0</v>
      </c>
      <c r="H568">
        <v>5</v>
      </c>
      <c r="I568">
        <v>3</v>
      </c>
    </row>
    <row r="569" spans="1:9" x14ac:dyDescent="0.25">
      <c r="A569" s="18">
        <v>42208</v>
      </c>
      <c r="B569">
        <v>1.5</v>
      </c>
      <c r="C569">
        <v>4</v>
      </c>
      <c r="D569">
        <v>3</v>
      </c>
      <c r="E569">
        <v>14</v>
      </c>
      <c r="F569">
        <v>3</v>
      </c>
      <c r="G569">
        <v>0</v>
      </c>
      <c r="H569">
        <v>0</v>
      </c>
      <c r="I569">
        <v>2</v>
      </c>
    </row>
    <row r="570" spans="1:9" x14ac:dyDescent="0.25">
      <c r="A570" s="18">
        <v>42209</v>
      </c>
      <c r="B570">
        <v>6</v>
      </c>
      <c r="C570">
        <v>6.34</v>
      </c>
      <c r="D570">
        <v>3.6</v>
      </c>
      <c r="E570">
        <v>29.6</v>
      </c>
      <c r="F570">
        <v>9</v>
      </c>
      <c r="G570">
        <v>1</v>
      </c>
      <c r="H570">
        <v>1</v>
      </c>
      <c r="I570">
        <v>10</v>
      </c>
    </row>
    <row r="571" spans="1:9" x14ac:dyDescent="0.25">
      <c r="A571" s="18">
        <v>42210</v>
      </c>
      <c r="B571">
        <v>4</v>
      </c>
      <c r="C571">
        <v>4</v>
      </c>
      <c r="D571">
        <v>5</v>
      </c>
      <c r="E571">
        <v>22</v>
      </c>
      <c r="F571">
        <v>7</v>
      </c>
      <c r="G571">
        <v>1</v>
      </c>
      <c r="H571">
        <v>0</v>
      </c>
      <c r="I571">
        <v>4</v>
      </c>
    </row>
    <row r="572" spans="1:9" x14ac:dyDescent="0.25">
      <c r="A572" s="18">
        <v>42211</v>
      </c>
      <c r="B572">
        <v>5</v>
      </c>
      <c r="C572">
        <v>2.99</v>
      </c>
      <c r="D572">
        <v>3</v>
      </c>
      <c r="E572">
        <v>29</v>
      </c>
      <c r="F572">
        <v>4</v>
      </c>
      <c r="G572">
        <v>0</v>
      </c>
      <c r="H572">
        <v>0</v>
      </c>
      <c r="I572">
        <v>0</v>
      </c>
    </row>
    <row r="573" spans="1:9" x14ac:dyDescent="0.25">
      <c r="A573" s="18">
        <v>42212</v>
      </c>
      <c r="B573">
        <v>7.34</v>
      </c>
      <c r="C573">
        <v>3.34</v>
      </c>
      <c r="D573">
        <v>7</v>
      </c>
      <c r="E573">
        <v>24</v>
      </c>
      <c r="F573">
        <v>9</v>
      </c>
      <c r="G573">
        <v>0</v>
      </c>
      <c r="H573">
        <v>0</v>
      </c>
      <c r="I573">
        <v>1.5</v>
      </c>
    </row>
    <row r="574" spans="1:9" x14ac:dyDescent="0.25">
      <c r="A574" s="18">
        <v>42213</v>
      </c>
      <c r="B574">
        <v>14.18</v>
      </c>
      <c r="C574">
        <v>6.02</v>
      </c>
      <c r="D574">
        <v>1</v>
      </c>
      <c r="E574">
        <v>15.2</v>
      </c>
      <c r="F574">
        <v>14</v>
      </c>
      <c r="G574">
        <v>0</v>
      </c>
      <c r="H574">
        <v>1</v>
      </c>
      <c r="I574">
        <v>3</v>
      </c>
    </row>
    <row r="575" spans="1:9" x14ac:dyDescent="0.25">
      <c r="A575" s="18">
        <v>42214</v>
      </c>
      <c r="B575">
        <v>10.34</v>
      </c>
      <c r="C575">
        <v>3.34</v>
      </c>
      <c r="D575">
        <v>4</v>
      </c>
      <c r="E575">
        <v>21.378</v>
      </c>
      <c r="F575">
        <v>8</v>
      </c>
      <c r="G575">
        <v>0</v>
      </c>
      <c r="H575">
        <v>2</v>
      </c>
      <c r="I575">
        <v>1</v>
      </c>
    </row>
    <row r="576" spans="1:9" x14ac:dyDescent="0.25">
      <c r="A576" s="18">
        <v>42215</v>
      </c>
      <c r="B576">
        <v>3</v>
      </c>
      <c r="C576">
        <v>3.33</v>
      </c>
      <c r="D576">
        <v>14</v>
      </c>
      <c r="E576">
        <v>16.3</v>
      </c>
      <c r="F576">
        <v>3</v>
      </c>
      <c r="G576">
        <v>0</v>
      </c>
      <c r="H576">
        <v>0</v>
      </c>
      <c r="I576">
        <v>4</v>
      </c>
    </row>
    <row r="577" spans="1:9" x14ac:dyDescent="0.25">
      <c r="A577" s="18">
        <v>42216</v>
      </c>
      <c r="B577">
        <v>5.5</v>
      </c>
      <c r="C577">
        <v>9</v>
      </c>
      <c r="D577">
        <v>6.2</v>
      </c>
      <c r="E577">
        <v>24</v>
      </c>
      <c r="F577">
        <v>8</v>
      </c>
      <c r="G577">
        <v>0</v>
      </c>
      <c r="H577">
        <v>0</v>
      </c>
      <c r="I577">
        <v>6</v>
      </c>
    </row>
    <row r="578" spans="1:9" x14ac:dyDescent="0.25">
      <c r="A578" s="18">
        <v>42217</v>
      </c>
      <c r="B578">
        <v>5</v>
      </c>
      <c r="C578">
        <v>5</v>
      </c>
      <c r="D578">
        <v>4</v>
      </c>
      <c r="E578">
        <v>19</v>
      </c>
      <c r="F578">
        <v>14</v>
      </c>
      <c r="G578">
        <v>0</v>
      </c>
      <c r="H578">
        <v>0</v>
      </c>
      <c r="I578">
        <v>2</v>
      </c>
    </row>
    <row r="579" spans="1:9" x14ac:dyDescent="0.25">
      <c r="A579" s="18">
        <v>42218</v>
      </c>
      <c r="B579">
        <v>5</v>
      </c>
      <c r="C579">
        <v>6.7</v>
      </c>
      <c r="D579">
        <v>4</v>
      </c>
      <c r="E579">
        <v>15</v>
      </c>
      <c r="F579">
        <v>9</v>
      </c>
      <c r="G579">
        <v>0</v>
      </c>
      <c r="H579">
        <v>0</v>
      </c>
      <c r="I579">
        <v>2</v>
      </c>
    </row>
    <row r="580" spans="1:9" x14ac:dyDescent="0.25">
      <c r="A580" s="18">
        <v>42219</v>
      </c>
      <c r="B580">
        <v>1.5</v>
      </c>
      <c r="C580">
        <v>2.33</v>
      </c>
      <c r="D580">
        <v>1.5</v>
      </c>
      <c r="E580">
        <v>23</v>
      </c>
      <c r="F580">
        <v>3.5</v>
      </c>
      <c r="G580">
        <v>1</v>
      </c>
      <c r="H580">
        <v>5</v>
      </c>
      <c r="I580">
        <v>1</v>
      </c>
    </row>
    <row r="581" spans="1:9" x14ac:dyDescent="0.25">
      <c r="A581" s="18">
        <v>42220</v>
      </c>
      <c r="B581">
        <v>6.34</v>
      </c>
      <c r="C581">
        <v>2.33</v>
      </c>
      <c r="D581">
        <v>3</v>
      </c>
      <c r="E581">
        <v>23</v>
      </c>
      <c r="F581">
        <v>5</v>
      </c>
      <c r="G581">
        <v>1</v>
      </c>
      <c r="H581">
        <v>0</v>
      </c>
      <c r="I581">
        <v>4</v>
      </c>
    </row>
    <row r="582" spans="1:9" x14ac:dyDescent="0.25">
      <c r="A582" s="18">
        <v>42221</v>
      </c>
      <c r="B582">
        <v>5</v>
      </c>
      <c r="C582">
        <v>3.33</v>
      </c>
      <c r="D582">
        <v>4.2</v>
      </c>
      <c r="E582">
        <v>22.2</v>
      </c>
      <c r="F582">
        <v>3.5</v>
      </c>
      <c r="G582">
        <v>0</v>
      </c>
      <c r="H582">
        <v>0</v>
      </c>
      <c r="I582">
        <v>1</v>
      </c>
    </row>
    <row r="583" spans="1:9" x14ac:dyDescent="0.25">
      <c r="A583" s="18">
        <v>42222</v>
      </c>
      <c r="B583">
        <v>5.33</v>
      </c>
      <c r="C583">
        <v>1.67</v>
      </c>
      <c r="D583">
        <v>8</v>
      </c>
      <c r="E583">
        <v>35</v>
      </c>
      <c r="F583">
        <v>11</v>
      </c>
      <c r="G583">
        <v>0</v>
      </c>
      <c r="H583">
        <v>3</v>
      </c>
      <c r="I583">
        <v>2</v>
      </c>
    </row>
    <row r="584" spans="1:9" x14ac:dyDescent="0.25">
      <c r="A584" s="18">
        <v>42223</v>
      </c>
      <c r="B584">
        <v>4.33</v>
      </c>
      <c r="C584">
        <v>4</v>
      </c>
      <c r="D584">
        <v>6</v>
      </c>
      <c r="E584">
        <v>22</v>
      </c>
      <c r="F584">
        <v>9</v>
      </c>
      <c r="G584">
        <v>2</v>
      </c>
      <c r="H584">
        <v>1</v>
      </c>
      <c r="I584">
        <v>6</v>
      </c>
    </row>
    <row r="585" spans="1:9" x14ac:dyDescent="0.25">
      <c r="A585" s="18">
        <v>42224</v>
      </c>
      <c r="B585">
        <v>6.33</v>
      </c>
      <c r="C585">
        <v>5.33</v>
      </c>
      <c r="D585">
        <v>7</v>
      </c>
      <c r="E585">
        <v>22</v>
      </c>
      <c r="F585">
        <v>5</v>
      </c>
      <c r="G585">
        <v>0</v>
      </c>
      <c r="H585">
        <v>0</v>
      </c>
      <c r="I585">
        <v>0.7</v>
      </c>
    </row>
    <row r="586" spans="1:9" x14ac:dyDescent="0.25">
      <c r="A586" s="18">
        <v>42225</v>
      </c>
      <c r="B586">
        <v>5</v>
      </c>
      <c r="C586">
        <v>3.66</v>
      </c>
      <c r="D586">
        <v>2</v>
      </c>
      <c r="E586">
        <v>21</v>
      </c>
      <c r="F586">
        <v>5</v>
      </c>
      <c r="G586">
        <v>0</v>
      </c>
      <c r="H586">
        <v>2</v>
      </c>
      <c r="I586">
        <v>3</v>
      </c>
    </row>
    <row r="587" spans="1:9" x14ac:dyDescent="0.25">
      <c r="A587" s="18">
        <v>42226</v>
      </c>
      <c r="B587">
        <v>3.67</v>
      </c>
      <c r="C587">
        <v>5.68</v>
      </c>
      <c r="D587">
        <v>4.2</v>
      </c>
      <c r="E587">
        <v>29</v>
      </c>
      <c r="F587">
        <v>12.5</v>
      </c>
      <c r="G587">
        <v>0</v>
      </c>
      <c r="H587">
        <v>1</v>
      </c>
      <c r="I587">
        <v>5</v>
      </c>
    </row>
    <row r="588" spans="1:9" x14ac:dyDescent="0.25">
      <c r="A588" s="18">
        <v>42227</v>
      </c>
      <c r="B588">
        <v>12.33</v>
      </c>
      <c r="C588">
        <v>6.66</v>
      </c>
      <c r="D588">
        <v>7.4</v>
      </c>
      <c r="E588">
        <v>18.100000000000001</v>
      </c>
      <c r="F588">
        <v>10</v>
      </c>
      <c r="G588">
        <v>0</v>
      </c>
      <c r="H588">
        <v>0</v>
      </c>
      <c r="I588">
        <v>4</v>
      </c>
    </row>
    <row r="589" spans="1:9" x14ac:dyDescent="0.25">
      <c r="A589" s="18">
        <v>42228</v>
      </c>
      <c r="B589">
        <v>8.67</v>
      </c>
      <c r="C589">
        <v>7.6929999999999996</v>
      </c>
      <c r="D589">
        <v>4</v>
      </c>
      <c r="E589">
        <v>28.2</v>
      </c>
      <c r="F589">
        <v>9.5</v>
      </c>
      <c r="G589">
        <v>0</v>
      </c>
      <c r="H589">
        <v>1</v>
      </c>
      <c r="I589">
        <v>1</v>
      </c>
    </row>
    <row r="590" spans="1:9" x14ac:dyDescent="0.25">
      <c r="A590" s="18">
        <v>42229</v>
      </c>
      <c r="B590">
        <v>8</v>
      </c>
      <c r="C590">
        <v>2</v>
      </c>
      <c r="D590">
        <v>6</v>
      </c>
      <c r="E590">
        <v>23.437999999999999</v>
      </c>
      <c r="F590">
        <v>9</v>
      </c>
      <c r="G590">
        <v>0</v>
      </c>
      <c r="H590">
        <v>3</v>
      </c>
      <c r="I590">
        <v>3</v>
      </c>
    </row>
    <row r="591" spans="1:9" x14ac:dyDescent="0.25">
      <c r="A591" s="18">
        <v>42230</v>
      </c>
      <c r="B591">
        <v>3</v>
      </c>
      <c r="C591">
        <v>4.66</v>
      </c>
      <c r="D591">
        <v>4</v>
      </c>
      <c r="E591">
        <v>16.7</v>
      </c>
      <c r="F591">
        <v>5</v>
      </c>
      <c r="G591">
        <v>0</v>
      </c>
      <c r="H591">
        <v>1</v>
      </c>
      <c r="I591">
        <v>4</v>
      </c>
    </row>
    <row r="592" spans="1:9" x14ac:dyDescent="0.25">
      <c r="A592" s="18">
        <v>42231</v>
      </c>
      <c r="B592">
        <v>3.34</v>
      </c>
      <c r="C592">
        <v>6.34</v>
      </c>
      <c r="D592">
        <v>6</v>
      </c>
      <c r="E592">
        <v>35</v>
      </c>
      <c r="F592">
        <v>14</v>
      </c>
      <c r="G592">
        <v>1</v>
      </c>
      <c r="H592">
        <v>1</v>
      </c>
      <c r="I592">
        <v>1</v>
      </c>
    </row>
    <row r="593" spans="1:9" x14ac:dyDescent="0.25">
      <c r="A593" s="18">
        <v>42232</v>
      </c>
      <c r="B593">
        <v>2</v>
      </c>
      <c r="C593">
        <v>4.67</v>
      </c>
      <c r="D593">
        <v>2</v>
      </c>
      <c r="E593">
        <v>19.25</v>
      </c>
      <c r="F593">
        <v>4</v>
      </c>
      <c r="G593">
        <v>2</v>
      </c>
      <c r="H593">
        <v>0</v>
      </c>
      <c r="I593">
        <v>2</v>
      </c>
    </row>
    <row r="594" spans="1:9" x14ac:dyDescent="0.25">
      <c r="A594" s="18">
        <v>42233</v>
      </c>
      <c r="B594">
        <v>8</v>
      </c>
      <c r="C594">
        <v>3</v>
      </c>
      <c r="D594">
        <v>3</v>
      </c>
      <c r="E594">
        <v>33</v>
      </c>
      <c r="F594">
        <v>6</v>
      </c>
      <c r="G594">
        <v>0</v>
      </c>
      <c r="H594">
        <v>0</v>
      </c>
      <c r="I594">
        <v>2</v>
      </c>
    </row>
    <row r="595" spans="1:9" x14ac:dyDescent="0.25">
      <c r="A595" s="18">
        <v>42234</v>
      </c>
      <c r="B595">
        <v>6.01</v>
      </c>
      <c r="C595">
        <v>2.67</v>
      </c>
      <c r="D595">
        <v>3</v>
      </c>
      <c r="E595">
        <v>24</v>
      </c>
      <c r="F595">
        <v>16</v>
      </c>
      <c r="G595">
        <v>0</v>
      </c>
      <c r="H595">
        <v>3</v>
      </c>
      <c r="I595">
        <v>1</v>
      </c>
    </row>
    <row r="596" spans="1:9" x14ac:dyDescent="0.25">
      <c r="A596" s="18">
        <v>42235</v>
      </c>
      <c r="B596">
        <v>6.33</v>
      </c>
      <c r="C596">
        <v>2.66</v>
      </c>
      <c r="D596">
        <v>8</v>
      </c>
      <c r="E596">
        <v>28</v>
      </c>
      <c r="F596">
        <v>15</v>
      </c>
      <c r="G596">
        <v>0</v>
      </c>
      <c r="H596">
        <v>3</v>
      </c>
      <c r="I596">
        <v>3</v>
      </c>
    </row>
    <row r="597" spans="1:9" x14ac:dyDescent="0.25">
      <c r="A597" s="18">
        <v>42236</v>
      </c>
      <c r="B597">
        <v>3.5</v>
      </c>
      <c r="C597">
        <v>3.68</v>
      </c>
      <c r="D597">
        <v>5</v>
      </c>
      <c r="E597">
        <v>19</v>
      </c>
      <c r="F597">
        <v>6</v>
      </c>
      <c r="G597">
        <v>1</v>
      </c>
      <c r="H597">
        <v>0</v>
      </c>
      <c r="I597">
        <v>0</v>
      </c>
    </row>
    <row r="598" spans="1:9" x14ac:dyDescent="0.25">
      <c r="A598" s="18">
        <v>42237</v>
      </c>
      <c r="B598">
        <v>6</v>
      </c>
      <c r="C598">
        <v>0.67</v>
      </c>
      <c r="D598">
        <v>3</v>
      </c>
      <c r="E598">
        <v>34</v>
      </c>
      <c r="F598">
        <v>8</v>
      </c>
      <c r="G598">
        <v>1</v>
      </c>
      <c r="H598">
        <v>1</v>
      </c>
      <c r="I598">
        <v>4</v>
      </c>
    </row>
    <row r="599" spans="1:9" x14ac:dyDescent="0.25">
      <c r="A599" s="18">
        <v>42238</v>
      </c>
      <c r="B599">
        <v>2.34</v>
      </c>
      <c r="C599">
        <v>6.7359999999999998</v>
      </c>
      <c r="D599">
        <v>4</v>
      </c>
      <c r="E599">
        <v>28</v>
      </c>
      <c r="F599">
        <v>6</v>
      </c>
      <c r="G599">
        <v>3</v>
      </c>
      <c r="H599">
        <v>1</v>
      </c>
      <c r="I599">
        <v>6</v>
      </c>
    </row>
    <row r="600" spans="1:9" x14ac:dyDescent="0.25">
      <c r="A600" s="18">
        <v>42239</v>
      </c>
      <c r="B600">
        <v>8.99</v>
      </c>
      <c r="C600">
        <v>5.33</v>
      </c>
      <c r="D600">
        <v>3</v>
      </c>
      <c r="E600">
        <v>28</v>
      </c>
      <c r="F600">
        <v>8</v>
      </c>
      <c r="G600">
        <v>0</v>
      </c>
      <c r="H600">
        <v>2</v>
      </c>
      <c r="I600">
        <v>2</v>
      </c>
    </row>
    <row r="601" spans="1:9" x14ac:dyDescent="0.25">
      <c r="A601" s="18">
        <v>42240</v>
      </c>
      <c r="B601">
        <v>8.5</v>
      </c>
      <c r="C601">
        <v>3.66</v>
      </c>
      <c r="D601">
        <v>3.4</v>
      </c>
      <c r="E601">
        <v>45.1</v>
      </c>
      <c r="F601">
        <v>8</v>
      </c>
      <c r="G601">
        <v>0</v>
      </c>
      <c r="H601">
        <v>0</v>
      </c>
      <c r="I601">
        <v>1</v>
      </c>
    </row>
    <row r="602" spans="1:9" x14ac:dyDescent="0.25">
      <c r="A602" s="18">
        <v>42241</v>
      </c>
      <c r="B602">
        <v>2.34</v>
      </c>
      <c r="C602">
        <v>2.67</v>
      </c>
      <c r="D602">
        <v>4</v>
      </c>
      <c r="E602">
        <v>23.5</v>
      </c>
      <c r="F602">
        <v>20</v>
      </c>
      <c r="G602">
        <v>0</v>
      </c>
      <c r="H602">
        <v>1</v>
      </c>
      <c r="I602">
        <v>3</v>
      </c>
    </row>
    <row r="603" spans="1:9" x14ac:dyDescent="0.25">
      <c r="A603" s="18">
        <v>42242</v>
      </c>
      <c r="B603">
        <v>2.67</v>
      </c>
      <c r="C603">
        <v>4.0199999999999996</v>
      </c>
      <c r="D603">
        <v>7.3</v>
      </c>
      <c r="E603">
        <v>27</v>
      </c>
      <c r="F603">
        <v>7</v>
      </c>
      <c r="G603">
        <v>0</v>
      </c>
      <c r="H603">
        <v>1</v>
      </c>
      <c r="I603">
        <v>6</v>
      </c>
    </row>
    <row r="604" spans="1:9" x14ac:dyDescent="0.25">
      <c r="A604" s="18">
        <v>42243</v>
      </c>
      <c r="B604">
        <v>9.33</v>
      </c>
      <c r="C604">
        <v>3</v>
      </c>
      <c r="D604">
        <v>4.5</v>
      </c>
      <c r="E604">
        <v>32</v>
      </c>
      <c r="F604">
        <v>8</v>
      </c>
      <c r="G604">
        <v>0</v>
      </c>
      <c r="H604">
        <v>0</v>
      </c>
      <c r="I604">
        <v>3</v>
      </c>
    </row>
    <row r="605" spans="1:9" x14ac:dyDescent="0.25">
      <c r="A605" s="18">
        <v>42244</v>
      </c>
      <c r="B605">
        <v>7</v>
      </c>
      <c r="C605">
        <v>8.67</v>
      </c>
      <c r="D605">
        <v>1</v>
      </c>
      <c r="E605">
        <v>15.1</v>
      </c>
      <c r="F605">
        <v>12</v>
      </c>
      <c r="G605">
        <v>0</v>
      </c>
      <c r="H605">
        <v>0</v>
      </c>
      <c r="I605">
        <v>3</v>
      </c>
    </row>
    <row r="606" spans="1:9" x14ac:dyDescent="0.25">
      <c r="A606" s="18">
        <v>42245</v>
      </c>
      <c r="B606">
        <v>10.84</v>
      </c>
      <c r="C606">
        <v>10.34</v>
      </c>
      <c r="D606">
        <v>4</v>
      </c>
      <c r="E606">
        <v>23.2</v>
      </c>
      <c r="F606">
        <v>4</v>
      </c>
      <c r="G606">
        <v>3</v>
      </c>
      <c r="H606">
        <v>3</v>
      </c>
      <c r="I606">
        <v>2</v>
      </c>
    </row>
    <row r="607" spans="1:9" x14ac:dyDescent="0.25">
      <c r="A607" s="18">
        <v>42246</v>
      </c>
      <c r="B607">
        <v>11</v>
      </c>
      <c r="C607">
        <v>6.02</v>
      </c>
      <c r="D607">
        <v>3.5</v>
      </c>
      <c r="E607">
        <v>21</v>
      </c>
      <c r="F607">
        <v>3</v>
      </c>
      <c r="G607">
        <v>0</v>
      </c>
      <c r="H607">
        <v>6</v>
      </c>
      <c r="I607">
        <v>4</v>
      </c>
    </row>
    <row r="608" spans="1:9" x14ac:dyDescent="0.25">
      <c r="A608" s="18">
        <v>42247</v>
      </c>
      <c r="B608">
        <v>4</v>
      </c>
      <c r="C608">
        <v>9.34</v>
      </c>
      <c r="D608">
        <v>3.4</v>
      </c>
      <c r="E608">
        <v>38</v>
      </c>
      <c r="F608">
        <v>9.5</v>
      </c>
      <c r="G608">
        <v>0</v>
      </c>
      <c r="H608">
        <v>6</v>
      </c>
      <c r="I608">
        <v>2</v>
      </c>
    </row>
    <row r="609" spans="1:9" x14ac:dyDescent="0.25">
      <c r="A609" s="18">
        <v>42248</v>
      </c>
      <c r="B609">
        <v>8.18</v>
      </c>
      <c r="C609">
        <v>2.84</v>
      </c>
      <c r="D609">
        <v>4.4000000000000004</v>
      </c>
      <c r="E609">
        <v>28.25</v>
      </c>
      <c r="F609">
        <v>8</v>
      </c>
      <c r="G609">
        <v>0</v>
      </c>
      <c r="H609">
        <v>0</v>
      </c>
      <c r="I609">
        <v>3</v>
      </c>
    </row>
    <row r="610" spans="1:9" x14ac:dyDescent="0.25">
      <c r="A610" s="18">
        <v>42249</v>
      </c>
      <c r="B610">
        <v>5.33</v>
      </c>
      <c r="C610">
        <v>7</v>
      </c>
      <c r="D610">
        <v>3</v>
      </c>
      <c r="E610">
        <v>31.3</v>
      </c>
      <c r="F610">
        <v>9.5</v>
      </c>
      <c r="G610">
        <v>0</v>
      </c>
      <c r="H610">
        <v>5</v>
      </c>
      <c r="I610">
        <v>5</v>
      </c>
    </row>
    <row r="611" spans="1:9" x14ac:dyDescent="0.25">
      <c r="A611" s="18">
        <v>42250</v>
      </c>
      <c r="B611">
        <v>1.34</v>
      </c>
      <c r="C611">
        <v>3.68</v>
      </c>
      <c r="D611">
        <v>2.2000000000000002</v>
      </c>
      <c r="E611">
        <v>19</v>
      </c>
      <c r="F611">
        <v>13</v>
      </c>
      <c r="G611">
        <v>0</v>
      </c>
      <c r="H611">
        <v>4</v>
      </c>
      <c r="I611">
        <v>2</v>
      </c>
    </row>
    <row r="612" spans="1:9" x14ac:dyDescent="0.25">
      <c r="A612" s="18">
        <v>42251</v>
      </c>
      <c r="B612">
        <v>3.34</v>
      </c>
      <c r="C612">
        <v>2.68</v>
      </c>
      <c r="D612">
        <v>3.1</v>
      </c>
      <c r="E612">
        <v>20</v>
      </c>
      <c r="F612">
        <v>8</v>
      </c>
      <c r="G612">
        <v>1</v>
      </c>
      <c r="H612">
        <v>1</v>
      </c>
      <c r="I612">
        <v>2</v>
      </c>
    </row>
    <row r="613" spans="1:9" x14ac:dyDescent="0.25">
      <c r="A613" s="18">
        <v>42252</v>
      </c>
      <c r="B613">
        <v>8.83</v>
      </c>
      <c r="C613">
        <v>6.01</v>
      </c>
      <c r="D613">
        <v>3.2</v>
      </c>
      <c r="E613">
        <v>20</v>
      </c>
      <c r="F613">
        <v>10.5</v>
      </c>
      <c r="G613">
        <v>1</v>
      </c>
      <c r="H613">
        <v>6</v>
      </c>
      <c r="I613">
        <v>4</v>
      </c>
    </row>
    <row r="614" spans="1:9" x14ac:dyDescent="0.25">
      <c r="A614" s="18">
        <v>42253</v>
      </c>
      <c r="B614">
        <v>8.33</v>
      </c>
      <c r="C614">
        <v>9.67</v>
      </c>
      <c r="D614">
        <v>6</v>
      </c>
      <c r="E614">
        <v>23.6</v>
      </c>
      <c r="F614">
        <v>8</v>
      </c>
      <c r="G614">
        <v>1</v>
      </c>
      <c r="H614">
        <v>0</v>
      </c>
      <c r="I614">
        <v>3</v>
      </c>
    </row>
    <row r="615" spans="1:9" x14ac:dyDescent="0.25">
      <c r="A615" s="18">
        <v>42254</v>
      </c>
      <c r="B615">
        <v>4.34</v>
      </c>
      <c r="C615">
        <v>6.1239999999999997</v>
      </c>
      <c r="D615">
        <v>2.5</v>
      </c>
      <c r="E615">
        <v>32.799999999999997</v>
      </c>
      <c r="F615">
        <v>7</v>
      </c>
      <c r="G615">
        <v>1</v>
      </c>
      <c r="H615">
        <v>5</v>
      </c>
      <c r="I615">
        <v>2</v>
      </c>
    </row>
    <row r="616" spans="1:9" x14ac:dyDescent="0.25">
      <c r="A616" s="18">
        <v>42255</v>
      </c>
      <c r="B616">
        <v>2.67</v>
      </c>
      <c r="C616">
        <v>1.6930000000000001</v>
      </c>
      <c r="D616">
        <v>5</v>
      </c>
      <c r="E616">
        <v>29.2</v>
      </c>
      <c r="F616">
        <v>4</v>
      </c>
      <c r="G616">
        <v>0</v>
      </c>
      <c r="H616">
        <v>2</v>
      </c>
      <c r="I616">
        <v>4</v>
      </c>
    </row>
    <row r="617" spans="1:9" x14ac:dyDescent="0.25">
      <c r="A617" s="18">
        <v>42256</v>
      </c>
      <c r="B617">
        <v>2</v>
      </c>
      <c r="C617">
        <v>3</v>
      </c>
      <c r="D617">
        <v>1</v>
      </c>
      <c r="E617">
        <v>34.700000000000003</v>
      </c>
      <c r="F617">
        <v>8</v>
      </c>
      <c r="G617">
        <v>0</v>
      </c>
      <c r="H617">
        <v>2</v>
      </c>
      <c r="I617">
        <v>2</v>
      </c>
    </row>
    <row r="618" spans="1:9" x14ac:dyDescent="0.25">
      <c r="A618" s="18">
        <v>42257</v>
      </c>
      <c r="B618">
        <v>6</v>
      </c>
      <c r="C618">
        <v>3.99</v>
      </c>
      <c r="D618">
        <v>4.2</v>
      </c>
      <c r="E618">
        <v>21.2</v>
      </c>
      <c r="F618">
        <v>18</v>
      </c>
      <c r="G618">
        <v>0</v>
      </c>
      <c r="H618">
        <v>2</v>
      </c>
      <c r="I618">
        <v>2</v>
      </c>
    </row>
    <row r="619" spans="1:9" x14ac:dyDescent="0.25">
      <c r="A619" s="18">
        <v>42258</v>
      </c>
      <c r="B619">
        <v>11.33</v>
      </c>
      <c r="C619">
        <v>5</v>
      </c>
      <c r="D619">
        <v>9</v>
      </c>
      <c r="E619">
        <v>30</v>
      </c>
      <c r="F619">
        <v>9</v>
      </c>
      <c r="G619">
        <v>0</v>
      </c>
      <c r="H619">
        <v>2</v>
      </c>
      <c r="I619">
        <v>2</v>
      </c>
    </row>
    <row r="620" spans="1:9" x14ac:dyDescent="0.25">
      <c r="A620" s="18">
        <v>42259</v>
      </c>
      <c r="B620">
        <v>4.66</v>
      </c>
      <c r="C620">
        <v>7.66</v>
      </c>
      <c r="D620">
        <v>5.2</v>
      </c>
      <c r="E620">
        <v>63.3</v>
      </c>
      <c r="F620">
        <v>6</v>
      </c>
      <c r="G620">
        <v>3</v>
      </c>
      <c r="H620">
        <v>0</v>
      </c>
      <c r="I620">
        <v>2</v>
      </c>
    </row>
    <row r="621" spans="1:9" x14ac:dyDescent="0.25">
      <c r="A621" s="18">
        <v>42260</v>
      </c>
      <c r="B621">
        <v>7.33</v>
      </c>
      <c r="C621">
        <v>6.165</v>
      </c>
      <c r="D621">
        <v>7.2</v>
      </c>
      <c r="E621">
        <v>25</v>
      </c>
      <c r="F621">
        <v>4</v>
      </c>
      <c r="G621">
        <v>0</v>
      </c>
      <c r="H621">
        <v>11</v>
      </c>
      <c r="I621">
        <v>3</v>
      </c>
    </row>
    <row r="622" spans="1:9" x14ac:dyDescent="0.25">
      <c r="A622" s="18">
        <v>42261</v>
      </c>
      <c r="B622">
        <v>4.68</v>
      </c>
      <c r="C622">
        <v>5</v>
      </c>
      <c r="D622">
        <v>1</v>
      </c>
      <c r="E622">
        <v>31.3</v>
      </c>
      <c r="F622">
        <v>14</v>
      </c>
      <c r="G622">
        <v>0</v>
      </c>
      <c r="H622">
        <v>0</v>
      </c>
      <c r="I622">
        <v>0</v>
      </c>
    </row>
    <row r="623" spans="1:9" x14ac:dyDescent="0.25">
      <c r="A623" s="18">
        <v>42262</v>
      </c>
      <c r="B623">
        <v>3.33</v>
      </c>
      <c r="C623">
        <v>5.0759999999999996</v>
      </c>
      <c r="D623">
        <v>4.2</v>
      </c>
      <c r="E623">
        <v>23.8</v>
      </c>
      <c r="F623">
        <v>7.5</v>
      </c>
      <c r="G623">
        <v>0</v>
      </c>
      <c r="H623">
        <v>6</v>
      </c>
      <c r="I623">
        <v>5</v>
      </c>
    </row>
    <row r="624" spans="1:9" x14ac:dyDescent="0.25">
      <c r="A624" s="18">
        <v>42263</v>
      </c>
      <c r="B624">
        <v>0.67</v>
      </c>
      <c r="C624">
        <v>4.835</v>
      </c>
      <c r="D624">
        <v>2.2000000000000002</v>
      </c>
      <c r="E624">
        <v>16.600000000000001</v>
      </c>
      <c r="F624">
        <v>6</v>
      </c>
      <c r="G624">
        <v>0</v>
      </c>
      <c r="H624">
        <v>2</v>
      </c>
      <c r="I624">
        <v>1</v>
      </c>
    </row>
    <row r="625" spans="1:9" x14ac:dyDescent="0.25">
      <c r="A625" s="18">
        <v>42264</v>
      </c>
      <c r="B625">
        <v>9.83</v>
      </c>
      <c r="C625">
        <v>6.33</v>
      </c>
      <c r="D625">
        <v>0</v>
      </c>
      <c r="E625">
        <v>35.5</v>
      </c>
      <c r="F625">
        <v>3</v>
      </c>
      <c r="G625">
        <v>0</v>
      </c>
      <c r="H625">
        <v>1</v>
      </c>
      <c r="I625">
        <v>2</v>
      </c>
    </row>
    <row r="626" spans="1:9" x14ac:dyDescent="0.25">
      <c r="A626" s="18">
        <v>42265</v>
      </c>
      <c r="B626">
        <v>3.34</v>
      </c>
      <c r="C626">
        <v>1.33</v>
      </c>
      <c r="D626">
        <v>3</v>
      </c>
      <c r="E626">
        <v>16</v>
      </c>
      <c r="F626">
        <v>4</v>
      </c>
      <c r="G626">
        <v>0</v>
      </c>
      <c r="H626">
        <v>4</v>
      </c>
      <c r="I626">
        <v>3</v>
      </c>
    </row>
    <row r="627" spans="1:9" x14ac:dyDescent="0.25">
      <c r="A627" s="18">
        <v>42266</v>
      </c>
      <c r="B627">
        <v>6.83</v>
      </c>
      <c r="C627">
        <v>0.99</v>
      </c>
      <c r="D627">
        <v>7</v>
      </c>
      <c r="E627">
        <v>37</v>
      </c>
      <c r="F627">
        <v>7</v>
      </c>
      <c r="G627">
        <v>0</v>
      </c>
      <c r="H627">
        <v>4</v>
      </c>
      <c r="I627">
        <v>5</v>
      </c>
    </row>
    <row r="628" spans="1:9" x14ac:dyDescent="0.25">
      <c r="A628" s="18">
        <v>42267</v>
      </c>
      <c r="B628">
        <v>9.99</v>
      </c>
      <c r="C628">
        <v>3.99</v>
      </c>
      <c r="D628">
        <v>6.5</v>
      </c>
      <c r="E628">
        <v>28.9</v>
      </c>
      <c r="F628">
        <v>15</v>
      </c>
      <c r="G628">
        <v>0</v>
      </c>
      <c r="H628">
        <v>0</v>
      </c>
      <c r="I628">
        <v>2</v>
      </c>
    </row>
    <row r="629" spans="1:9" x14ac:dyDescent="0.25">
      <c r="A629" s="18">
        <v>42268</v>
      </c>
      <c r="B629">
        <v>2</v>
      </c>
      <c r="C629">
        <v>10</v>
      </c>
      <c r="D629">
        <v>2</v>
      </c>
      <c r="E629">
        <v>46.7</v>
      </c>
      <c r="F629">
        <v>6</v>
      </c>
      <c r="G629">
        <v>0</v>
      </c>
      <c r="H629">
        <v>0</v>
      </c>
      <c r="I629">
        <v>2</v>
      </c>
    </row>
    <row r="630" spans="1:9" x14ac:dyDescent="0.25">
      <c r="A630" s="18">
        <v>42269</v>
      </c>
      <c r="B630">
        <v>6.99</v>
      </c>
      <c r="C630">
        <v>1.33</v>
      </c>
      <c r="D630">
        <v>4</v>
      </c>
      <c r="E630">
        <v>19.5</v>
      </c>
      <c r="F630">
        <v>10</v>
      </c>
      <c r="G630">
        <v>2</v>
      </c>
      <c r="H630">
        <v>5</v>
      </c>
      <c r="I630">
        <v>5</v>
      </c>
    </row>
    <row r="631" spans="1:9" x14ac:dyDescent="0.25">
      <c r="A631" s="18">
        <v>42270</v>
      </c>
      <c r="B631">
        <v>6.16</v>
      </c>
      <c r="C631">
        <v>4.056</v>
      </c>
      <c r="D631">
        <v>3.3</v>
      </c>
      <c r="E631">
        <v>34.65</v>
      </c>
      <c r="F631">
        <v>7</v>
      </c>
      <c r="G631">
        <v>0</v>
      </c>
      <c r="H631">
        <v>2</v>
      </c>
      <c r="I631">
        <v>1</v>
      </c>
    </row>
    <row r="632" spans="1:9" x14ac:dyDescent="0.25">
      <c r="A632" s="18">
        <v>42271</v>
      </c>
      <c r="B632">
        <v>2.99</v>
      </c>
      <c r="C632">
        <v>4.34</v>
      </c>
      <c r="D632">
        <v>4.2</v>
      </c>
      <c r="E632">
        <v>37.6</v>
      </c>
      <c r="F632">
        <v>7</v>
      </c>
      <c r="G632">
        <v>0</v>
      </c>
      <c r="H632">
        <v>0</v>
      </c>
      <c r="I632">
        <v>0</v>
      </c>
    </row>
    <row r="633" spans="1:9" x14ac:dyDescent="0.25">
      <c r="A633" s="18">
        <v>42272</v>
      </c>
      <c r="B633">
        <v>4.83</v>
      </c>
      <c r="C633">
        <v>4.9800000000000004</v>
      </c>
      <c r="D633">
        <v>5.2</v>
      </c>
      <c r="E633">
        <v>25.2</v>
      </c>
      <c r="F633">
        <v>11</v>
      </c>
      <c r="G633">
        <v>0</v>
      </c>
      <c r="H633">
        <v>1</v>
      </c>
      <c r="I633">
        <v>3</v>
      </c>
    </row>
    <row r="634" spans="1:9" x14ac:dyDescent="0.25">
      <c r="A634" s="18">
        <v>42273</v>
      </c>
      <c r="B634">
        <v>12.42</v>
      </c>
      <c r="C634">
        <v>3.33</v>
      </c>
      <c r="D634">
        <v>2.5</v>
      </c>
      <c r="E634">
        <v>33</v>
      </c>
      <c r="F634">
        <v>6</v>
      </c>
      <c r="G634">
        <v>1</v>
      </c>
      <c r="H634">
        <v>7</v>
      </c>
      <c r="I634">
        <v>2</v>
      </c>
    </row>
    <row r="635" spans="1:9" x14ac:dyDescent="0.25">
      <c r="A635" s="18">
        <v>42274</v>
      </c>
      <c r="B635">
        <v>5.83</v>
      </c>
      <c r="C635">
        <v>3</v>
      </c>
      <c r="D635">
        <v>2.2999999999999998</v>
      </c>
      <c r="E635">
        <v>10.425000000000001</v>
      </c>
      <c r="F635">
        <v>3</v>
      </c>
      <c r="G635">
        <v>1</v>
      </c>
      <c r="H635">
        <v>2</v>
      </c>
      <c r="I635">
        <v>1</v>
      </c>
    </row>
    <row r="636" spans="1:9" x14ac:dyDescent="0.25">
      <c r="A636" s="18">
        <v>42275</v>
      </c>
      <c r="B636">
        <v>1</v>
      </c>
      <c r="C636">
        <v>1.33</v>
      </c>
      <c r="D636">
        <v>2</v>
      </c>
      <c r="E636">
        <v>15.4</v>
      </c>
      <c r="F636">
        <v>8</v>
      </c>
      <c r="G636">
        <v>0</v>
      </c>
      <c r="H636">
        <v>17</v>
      </c>
      <c r="I636">
        <v>2</v>
      </c>
    </row>
    <row r="637" spans="1:9" x14ac:dyDescent="0.25">
      <c r="A637" s="18">
        <v>42276</v>
      </c>
      <c r="B637">
        <v>6.33</v>
      </c>
      <c r="C637">
        <v>4.3630000000000004</v>
      </c>
      <c r="D637">
        <v>1</v>
      </c>
      <c r="E637">
        <v>39.700000000000003</v>
      </c>
      <c r="F637">
        <v>7</v>
      </c>
      <c r="G637">
        <v>0</v>
      </c>
      <c r="H637">
        <v>0</v>
      </c>
      <c r="I637">
        <v>0</v>
      </c>
    </row>
    <row r="638" spans="1:9" x14ac:dyDescent="0.25">
      <c r="A638" s="18">
        <v>42277</v>
      </c>
      <c r="B638">
        <v>5.32</v>
      </c>
      <c r="C638">
        <v>4.33</v>
      </c>
      <c r="D638">
        <v>4</v>
      </c>
      <c r="E638">
        <v>22.5</v>
      </c>
      <c r="F638">
        <v>9</v>
      </c>
      <c r="G638">
        <v>0</v>
      </c>
      <c r="H638">
        <v>0</v>
      </c>
      <c r="I638">
        <v>1</v>
      </c>
    </row>
    <row r="639" spans="1:9" x14ac:dyDescent="0.25">
      <c r="A639" s="18">
        <v>42278</v>
      </c>
      <c r="B639">
        <v>9.66</v>
      </c>
      <c r="C639">
        <v>5.99</v>
      </c>
      <c r="D639">
        <v>4</v>
      </c>
      <c r="E639">
        <v>34.561999999999998</v>
      </c>
      <c r="F639">
        <v>2</v>
      </c>
      <c r="G639">
        <v>0</v>
      </c>
      <c r="H639">
        <v>5</v>
      </c>
      <c r="I639">
        <v>2</v>
      </c>
    </row>
    <row r="640" spans="1:9" x14ac:dyDescent="0.25">
      <c r="A640" s="18">
        <v>42279</v>
      </c>
      <c r="B640">
        <v>5</v>
      </c>
      <c r="C640">
        <v>4.726</v>
      </c>
      <c r="D640">
        <v>4</v>
      </c>
      <c r="E640">
        <v>37.299999999999997</v>
      </c>
      <c r="F640">
        <v>5</v>
      </c>
      <c r="G640">
        <v>0</v>
      </c>
      <c r="H640">
        <v>5</v>
      </c>
      <c r="I640">
        <v>1</v>
      </c>
    </row>
    <row r="641" spans="1:9" x14ac:dyDescent="0.25">
      <c r="A641" s="18">
        <v>42280</v>
      </c>
      <c r="B641">
        <v>10.34</v>
      </c>
      <c r="C641">
        <v>5.34</v>
      </c>
      <c r="D641">
        <v>3</v>
      </c>
      <c r="E641">
        <v>37.200000000000003</v>
      </c>
      <c r="F641">
        <v>7</v>
      </c>
      <c r="G641">
        <v>0</v>
      </c>
      <c r="H641">
        <v>7</v>
      </c>
      <c r="I641">
        <v>2</v>
      </c>
    </row>
    <row r="642" spans="1:9" x14ac:dyDescent="0.25">
      <c r="A642" s="18">
        <v>42281</v>
      </c>
      <c r="B642">
        <v>7</v>
      </c>
      <c r="C642">
        <v>4</v>
      </c>
      <c r="D642">
        <v>4</v>
      </c>
      <c r="E642">
        <v>59</v>
      </c>
      <c r="F642">
        <v>3</v>
      </c>
      <c r="G642">
        <v>0</v>
      </c>
      <c r="H642">
        <v>16</v>
      </c>
      <c r="I642">
        <v>2</v>
      </c>
    </row>
    <row r="643" spans="1:9" x14ac:dyDescent="0.25">
      <c r="A643" s="18">
        <v>42282</v>
      </c>
      <c r="B643">
        <v>5</v>
      </c>
      <c r="C643">
        <v>2.3730000000000002</v>
      </c>
      <c r="D643">
        <v>2.2000000000000002</v>
      </c>
      <c r="E643">
        <v>70.95</v>
      </c>
      <c r="F643">
        <v>11</v>
      </c>
      <c r="G643">
        <v>1</v>
      </c>
      <c r="H643">
        <v>7</v>
      </c>
      <c r="I643">
        <v>5</v>
      </c>
    </row>
    <row r="644" spans="1:9" x14ac:dyDescent="0.25">
      <c r="A644" s="18">
        <v>42283</v>
      </c>
      <c r="B644">
        <v>5.69</v>
      </c>
      <c r="C644">
        <v>3.66</v>
      </c>
      <c r="D644">
        <v>5.5</v>
      </c>
      <c r="E644">
        <v>42.725000000000001</v>
      </c>
      <c r="F644">
        <v>9</v>
      </c>
      <c r="G644">
        <v>1</v>
      </c>
      <c r="H644">
        <v>5</v>
      </c>
      <c r="I644">
        <v>4</v>
      </c>
    </row>
    <row r="645" spans="1:9" x14ac:dyDescent="0.25">
      <c r="A645" s="18">
        <v>42284</v>
      </c>
      <c r="B645">
        <v>7.33</v>
      </c>
      <c r="C645">
        <v>2.66</v>
      </c>
      <c r="D645">
        <v>6</v>
      </c>
      <c r="E645">
        <v>44.3</v>
      </c>
      <c r="F645">
        <v>8</v>
      </c>
      <c r="G645">
        <v>0</v>
      </c>
      <c r="H645">
        <v>5</v>
      </c>
      <c r="I645">
        <v>2</v>
      </c>
    </row>
    <row r="646" spans="1:9" x14ac:dyDescent="0.25">
      <c r="A646" s="18">
        <v>42285</v>
      </c>
      <c r="B646">
        <v>8.82</v>
      </c>
      <c r="C646">
        <v>4.33</v>
      </c>
      <c r="D646">
        <v>3</v>
      </c>
      <c r="E646">
        <v>30.7</v>
      </c>
      <c r="F646">
        <v>5</v>
      </c>
      <c r="G646">
        <v>0</v>
      </c>
      <c r="H646">
        <v>20</v>
      </c>
      <c r="I646">
        <v>0</v>
      </c>
    </row>
    <row r="647" spans="1:9" x14ac:dyDescent="0.25">
      <c r="A647" s="18">
        <v>42286</v>
      </c>
      <c r="B647">
        <v>2</v>
      </c>
      <c r="C647">
        <v>2.7690000000000001</v>
      </c>
      <c r="D647">
        <v>7.6</v>
      </c>
      <c r="E647">
        <v>28.062000000000001</v>
      </c>
      <c r="F647">
        <v>13</v>
      </c>
      <c r="G647">
        <v>2</v>
      </c>
      <c r="H647">
        <v>10</v>
      </c>
      <c r="I647">
        <v>2</v>
      </c>
    </row>
    <row r="648" spans="1:9" x14ac:dyDescent="0.25">
      <c r="A648" s="18">
        <v>42287</v>
      </c>
      <c r="B648">
        <v>6.16</v>
      </c>
      <c r="C648">
        <v>5.66</v>
      </c>
      <c r="D648">
        <v>3</v>
      </c>
      <c r="E648">
        <v>46.3</v>
      </c>
      <c r="F648">
        <v>19.5</v>
      </c>
      <c r="G648">
        <v>0</v>
      </c>
      <c r="H648">
        <v>1</v>
      </c>
      <c r="I648">
        <v>0</v>
      </c>
    </row>
    <row r="649" spans="1:9" x14ac:dyDescent="0.25">
      <c r="A649" s="18">
        <v>42288</v>
      </c>
      <c r="B649">
        <v>10.33</v>
      </c>
      <c r="C649">
        <v>2.7919999999999998</v>
      </c>
      <c r="D649">
        <v>7.1</v>
      </c>
      <c r="E649">
        <v>70.3</v>
      </c>
      <c r="F649">
        <v>8</v>
      </c>
      <c r="G649">
        <v>0</v>
      </c>
      <c r="H649">
        <v>3</v>
      </c>
      <c r="I649">
        <v>5</v>
      </c>
    </row>
    <row r="650" spans="1:9" x14ac:dyDescent="0.25">
      <c r="A650" s="18">
        <v>42289</v>
      </c>
      <c r="B650">
        <v>9.66</v>
      </c>
      <c r="C650">
        <v>7.33</v>
      </c>
      <c r="D650">
        <v>6</v>
      </c>
      <c r="E650">
        <v>68.849999999999994</v>
      </c>
      <c r="F650">
        <v>12</v>
      </c>
      <c r="G650">
        <v>0</v>
      </c>
      <c r="H650">
        <v>5</v>
      </c>
      <c r="I650">
        <v>3</v>
      </c>
    </row>
    <row r="651" spans="1:9" x14ac:dyDescent="0.25">
      <c r="A651" s="18">
        <v>42290</v>
      </c>
      <c r="B651">
        <v>3.83</v>
      </c>
      <c r="C651">
        <v>7</v>
      </c>
      <c r="D651">
        <v>5.2</v>
      </c>
      <c r="E651">
        <v>63.8</v>
      </c>
      <c r="F651">
        <v>5.5</v>
      </c>
      <c r="G651">
        <v>0</v>
      </c>
      <c r="H651">
        <v>5</v>
      </c>
      <c r="I651">
        <v>1</v>
      </c>
    </row>
    <row r="652" spans="1:9" x14ac:dyDescent="0.25">
      <c r="A652" s="18">
        <v>42291</v>
      </c>
      <c r="B652">
        <v>4.66</v>
      </c>
      <c r="C652">
        <v>7.33</v>
      </c>
      <c r="D652">
        <v>3.9</v>
      </c>
      <c r="E652">
        <v>38.6</v>
      </c>
      <c r="F652">
        <v>7</v>
      </c>
      <c r="G652">
        <v>0</v>
      </c>
      <c r="H652">
        <v>0</v>
      </c>
      <c r="I652">
        <v>1</v>
      </c>
    </row>
    <row r="653" spans="1:9" x14ac:dyDescent="0.25">
      <c r="A653" s="18">
        <v>42292</v>
      </c>
      <c r="B653">
        <v>5.16</v>
      </c>
      <c r="C653">
        <v>5.726</v>
      </c>
      <c r="D653">
        <v>7.3</v>
      </c>
      <c r="E653">
        <v>64.724000000000004</v>
      </c>
      <c r="F653">
        <v>4</v>
      </c>
      <c r="G653">
        <v>0</v>
      </c>
      <c r="H653">
        <v>9</v>
      </c>
      <c r="I653">
        <v>1</v>
      </c>
    </row>
    <row r="654" spans="1:9" x14ac:dyDescent="0.25">
      <c r="A654" s="18">
        <v>42293</v>
      </c>
      <c r="B654">
        <v>1.67</v>
      </c>
      <c r="C654">
        <v>3.33</v>
      </c>
      <c r="D654">
        <v>5.2</v>
      </c>
      <c r="E654">
        <v>57.3</v>
      </c>
      <c r="F654">
        <v>2</v>
      </c>
      <c r="G654">
        <v>0</v>
      </c>
      <c r="H654">
        <v>5</v>
      </c>
      <c r="I654">
        <v>1</v>
      </c>
    </row>
    <row r="655" spans="1:9" x14ac:dyDescent="0.25">
      <c r="A655" s="18">
        <v>42294</v>
      </c>
      <c r="B655">
        <v>10.34</v>
      </c>
      <c r="C655">
        <v>2.8370000000000002</v>
      </c>
      <c r="D655">
        <v>3.4</v>
      </c>
      <c r="E655">
        <v>74.3</v>
      </c>
      <c r="F655">
        <v>8</v>
      </c>
      <c r="G655">
        <v>0</v>
      </c>
      <c r="H655">
        <v>0</v>
      </c>
      <c r="I655">
        <v>1</v>
      </c>
    </row>
    <row r="656" spans="1:9" x14ac:dyDescent="0.25">
      <c r="A656" s="18">
        <v>42295</v>
      </c>
      <c r="B656">
        <v>7.34</v>
      </c>
      <c r="C656">
        <v>6.54</v>
      </c>
      <c r="D656">
        <v>4.9000000000000004</v>
      </c>
      <c r="E656">
        <v>55.6</v>
      </c>
      <c r="F656">
        <v>3</v>
      </c>
      <c r="G656">
        <v>1</v>
      </c>
      <c r="H656">
        <v>8</v>
      </c>
      <c r="I656">
        <v>8</v>
      </c>
    </row>
    <row r="657" spans="1:9" x14ac:dyDescent="0.25">
      <c r="A657" s="18">
        <v>42296</v>
      </c>
      <c r="B657">
        <v>12</v>
      </c>
      <c r="C657">
        <v>3.802</v>
      </c>
      <c r="D657">
        <v>3</v>
      </c>
      <c r="E657">
        <v>62.6</v>
      </c>
      <c r="F657">
        <v>3</v>
      </c>
      <c r="G657">
        <v>0</v>
      </c>
      <c r="H657">
        <v>17</v>
      </c>
      <c r="I657">
        <v>0</v>
      </c>
    </row>
    <row r="658" spans="1:9" x14ac:dyDescent="0.25">
      <c r="A658" s="18">
        <v>42297</v>
      </c>
      <c r="B658">
        <v>3.34</v>
      </c>
      <c r="C658">
        <v>1.99</v>
      </c>
      <c r="D658">
        <v>2.2999999999999998</v>
      </c>
      <c r="E658">
        <v>44.7</v>
      </c>
      <c r="F658">
        <v>6</v>
      </c>
      <c r="G658">
        <v>0</v>
      </c>
      <c r="H658">
        <v>10</v>
      </c>
      <c r="I658">
        <v>5</v>
      </c>
    </row>
    <row r="659" spans="1:9" x14ac:dyDescent="0.25">
      <c r="A659" s="18">
        <v>42298</v>
      </c>
      <c r="B659">
        <v>8.66</v>
      </c>
      <c r="C659">
        <v>2.363</v>
      </c>
      <c r="D659">
        <v>3.2</v>
      </c>
      <c r="E659">
        <v>36.799999999999997</v>
      </c>
      <c r="F659">
        <v>9</v>
      </c>
      <c r="G659">
        <v>1</v>
      </c>
      <c r="H659">
        <v>1</v>
      </c>
      <c r="I659">
        <v>4</v>
      </c>
    </row>
    <row r="660" spans="1:9" x14ac:dyDescent="0.25">
      <c r="A660" s="18">
        <v>42299</v>
      </c>
      <c r="B660">
        <v>4.33</v>
      </c>
      <c r="C660">
        <v>0.34</v>
      </c>
      <c r="D660">
        <v>0</v>
      </c>
      <c r="E660">
        <v>35.262</v>
      </c>
      <c r="F660">
        <v>9</v>
      </c>
      <c r="G660">
        <v>0</v>
      </c>
      <c r="H660">
        <v>2</v>
      </c>
      <c r="I660">
        <v>2</v>
      </c>
    </row>
    <row r="661" spans="1:9" x14ac:dyDescent="0.25">
      <c r="A661" s="18">
        <v>42300</v>
      </c>
      <c r="B661">
        <v>7</v>
      </c>
      <c r="C661">
        <v>1.66</v>
      </c>
      <c r="D661">
        <v>10.199999999999999</v>
      </c>
      <c r="E661">
        <v>41.4</v>
      </c>
      <c r="F661">
        <v>3</v>
      </c>
      <c r="G661">
        <v>0</v>
      </c>
      <c r="H661">
        <v>6</v>
      </c>
      <c r="I661">
        <v>2</v>
      </c>
    </row>
    <row r="662" spans="1:9" x14ac:dyDescent="0.25">
      <c r="A662" s="18">
        <v>42301</v>
      </c>
      <c r="B662">
        <v>9.84</v>
      </c>
      <c r="C662">
        <v>8.35</v>
      </c>
      <c r="D662">
        <v>9.1</v>
      </c>
      <c r="E662">
        <v>67.400000000000006</v>
      </c>
      <c r="F662">
        <v>8</v>
      </c>
      <c r="G662">
        <v>0</v>
      </c>
      <c r="H662">
        <v>4</v>
      </c>
      <c r="I662">
        <v>2</v>
      </c>
    </row>
    <row r="663" spans="1:9" x14ac:dyDescent="0.25">
      <c r="A663" s="18">
        <v>42302</v>
      </c>
      <c r="B663">
        <v>3</v>
      </c>
      <c r="C663">
        <v>3.33</v>
      </c>
      <c r="D663">
        <v>3.1</v>
      </c>
      <c r="E663">
        <v>64.599999999999994</v>
      </c>
      <c r="F663">
        <v>4</v>
      </c>
      <c r="G663">
        <v>0</v>
      </c>
      <c r="H663">
        <v>0</v>
      </c>
      <c r="I663">
        <v>4</v>
      </c>
    </row>
    <row r="664" spans="1:9" x14ac:dyDescent="0.25">
      <c r="A664" s="18">
        <v>42303</v>
      </c>
      <c r="B664">
        <v>9</v>
      </c>
      <c r="C664">
        <v>5.33</v>
      </c>
      <c r="D664">
        <v>8</v>
      </c>
      <c r="E664">
        <v>53.3</v>
      </c>
      <c r="F664">
        <v>8</v>
      </c>
      <c r="G664">
        <v>1</v>
      </c>
      <c r="H664">
        <v>2</v>
      </c>
      <c r="I664">
        <v>2</v>
      </c>
    </row>
    <row r="665" spans="1:9" x14ac:dyDescent="0.25">
      <c r="A665" s="18">
        <v>42304</v>
      </c>
      <c r="B665">
        <v>4.33</v>
      </c>
      <c r="C665">
        <v>2</v>
      </c>
      <c r="D665">
        <v>8.5</v>
      </c>
      <c r="E665">
        <v>64.400000000000006</v>
      </c>
      <c r="F665">
        <v>7</v>
      </c>
      <c r="G665">
        <v>0</v>
      </c>
      <c r="H665">
        <v>8</v>
      </c>
      <c r="I665">
        <v>3</v>
      </c>
    </row>
    <row r="666" spans="1:9" x14ac:dyDescent="0.25">
      <c r="A666" s="18">
        <v>42305</v>
      </c>
      <c r="B666">
        <v>1</v>
      </c>
      <c r="C666">
        <v>1.66</v>
      </c>
      <c r="D666">
        <v>1</v>
      </c>
      <c r="E666">
        <v>33</v>
      </c>
      <c r="F666">
        <v>11</v>
      </c>
      <c r="G666">
        <v>1</v>
      </c>
      <c r="H666">
        <v>6</v>
      </c>
      <c r="I666">
        <v>2</v>
      </c>
    </row>
    <row r="667" spans="1:9" x14ac:dyDescent="0.25">
      <c r="A667" s="18">
        <v>42306</v>
      </c>
      <c r="B667">
        <v>2.33</v>
      </c>
      <c r="C667">
        <v>3.6930000000000001</v>
      </c>
      <c r="D667">
        <v>1.3</v>
      </c>
      <c r="E667">
        <v>38.299999999999997</v>
      </c>
      <c r="F667">
        <v>8</v>
      </c>
      <c r="G667">
        <v>0</v>
      </c>
      <c r="H667">
        <v>0</v>
      </c>
      <c r="I667">
        <v>1</v>
      </c>
    </row>
    <row r="668" spans="1:9" x14ac:dyDescent="0.25">
      <c r="A668" s="18">
        <v>42307</v>
      </c>
      <c r="B668">
        <v>5.33</v>
      </c>
      <c r="C668">
        <v>3.67</v>
      </c>
      <c r="D668">
        <v>3.2</v>
      </c>
      <c r="E668">
        <v>49.6</v>
      </c>
      <c r="F668">
        <v>8</v>
      </c>
      <c r="G668">
        <v>0</v>
      </c>
      <c r="H668">
        <v>5</v>
      </c>
      <c r="I668">
        <v>3</v>
      </c>
    </row>
    <row r="669" spans="1:9" x14ac:dyDescent="0.25">
      <c r="A669" s="18">
        <v>42308</v>
      </c>
      <c r="B669">
        <v>5.66</v>
      </c>
      <c r="C669">
        <v>4.6500000000000004</v>
      </c>
      <c r="D669">
        <v>8</v>
      </c>
      <c r="E669">
        <v>58.4</v>
      </c>
      <c r="F669">
        <v>6</v>
      </c>
      <c r="G669">
        <v>0</v>
      </c>
      <c r="H669">
        <v>7</v>
      </c>
      <c r="I669">
        <v>1</v>
      </c>
    </row>
    <row r="670" spans="1:9" x14ac:dyDescent="0.25">
      <c r="A670" s="18">
        <v>42309</v>
      </c>
      <c r="B670">
        <v>2.33</v>
      </c>
      <c r="C670">
        <v>7.99</v>
      </c>
      <c r="D670">
        <v>5.6</v>
      </c>
      <c r="E670">
        <v>80.400000000000006</v>
      </c>
      <c r="F670">
        <v>11</v>
      </c>
      <c r="G670">
        <v>0</v>
      </c>
      <c r="H670">
        <v>5</v>
      </c>
      <c r="I670">
        <v>0</v>
      </c>
    </row>
    <row r="671" spans="1:9" x14ac:dyDescent="0.25">
      <c r="A671" s="18">
        <v>42310</v>
      </c>
      <c r="B671">
        <v>4.66</v>
      </c>
      <c r="C671">
        <v>4.33</v>
      </c>
      <c r="D671">
        <v>4</v>
      </c>
      <c r="E671">
        <v>46.3</v>
      </c>
      <c r="F671">
        <v>7</v>
      </c>
      <c r="G671">
        <v>0</v>
      </c>
      <c r="H671">
        <v>7</v>
      </c>
      <c r="I671">
        <v>2</v>
      </c>
    </row>
    <row r="672" spans="1:9" x14ac:dyDescent="0.25">
      <c r="A672" s="18">
        <v>42311</v>
      </c>
      <c r="B672">
        <v>1.34</v>
      </c>
      <c r="C672">
        <v>4.3499999999999996</v>
      </c>
      <c r="D672">
        <v>4.3</v>
      </c>
      <c r="E672">
        <v>41.8</v>
      </c>
      <c r="F672">
        <v>5</v>
      </c>
      <c r="G672">
        <v>0</v>
      </c>
      <c r="H672">
        <v>3</v>
      </c>
      <c r="I672">
        <v>0</v>
      </c>
    </row>
    <row r="673" spans="1:9" x14ac:dyDescent="0.25">
      <c r="A673" s="18">
        <v>42312</v>
      </c>
      <c r="B673">
        <v>8.5</v>
      </c>
      <c r="C673">
        <v>2.34</v>
      </c>
      <c r="D673">
        <v>3</v>
      </c>
      <c r="E673">
        <v>59.8</v>
      </c>
      <c r="F673">
        <v>18</v>
      </c>
      <c r="G673">
        <v>3</v>
      </c>
      <c r="H673">
        <v>3</v>
      </c>
      <c r="I673">
        <v>4</v>
      </c>
    </row>
    <row r="674" spans="1:9" x14ac:dyDescent="0.25">
      <c r="A674" s="18">
        <v>42313</v>
      </c>
      <c r="B674">
        <v>4.33</v>
      </c>
      <c r="C674">
        <v>3.5609999999999999</v>
      </c>
      <c r="D674">
        <v>7.4</v>
      </c>
      <c r="E674">
        <v>45</v>
      </c>
      <c r="F674">
        <v>3</v>
      </c>
      <c r="G674">
        <v>0</v>
      </c>
      <c r="H674">
        <v>0</v>
      </c>
      <c r="I674">
        <v>2</v>
      </c>
    </row>
    <row r="675" spans="1:9" x14ac:dyDescent="0.25">
      <c r="A675" s="18">
        <v>42314</v>
      </c>
      <c r="B675">
        <v>3.33</v>
      </c>
      <c r="C675">
        <v>6.7359999999999998</v>
      </c>
      <c r="D675">
        <v>4</v>
      </c>
      <c r="E675">
        <v>31.475000000000001</v>
      </c>
      <c r="F675">
        <v>5</v>
      </c>
      <c r="G675">
        <v>2</v>
      </c>
      <c r="H675">
        <v>1</v>
      </c>
      <c r="I675">
        <v>0</v>
      </c>
    </row>
    <row r="676" spans="1:9" x14ac:dyDescent="0.25">
      <c r="A676" s="18">
        <v>42315</v>
      </c>
      <c r="B676">
        <v>4</v>
      </c>
      <c r="C676">
        <v>3.11</v>
      </c>
      <c r="D676">
        <v>4.8</v>
      </c>
      <c r="E676">
        <v>69.900000000000006</v>
      </c>
      <c r="F676">
        <v>15</v>
      </c>
      <c r="G676">
        <v>1</v>
      </c>
      <c r="H676">
        <v>6</v>
      </c>
      <c r="I676">
        <v>1</v>
      </c>
    </row>
    <row r="677" spans="1:9" x14ac:dyDescent="0.25">
      <c r="A677" s="18">
        <v>42316</v>
      </c>
      <c r="B677">
        <v>6.33</v>
      </c>
      <c r="C677">
        <v>3.67</v>
      </c>
      <c r="D677">
        <v>7.2</v>
      </c>
      <c r="E677">
        <v>48.6</v>
      </c>
      <c r="F677">
        <v>7</v>
      </c>
      <c r="G677">
        <v>0</v>
      </c>
      <c r="H677">
        <v>13</v>
      </c>
      <c r="I677">
        <v>1</v>
      </c>
    </row>
    <row r="678" spans="1:9" x14ac:dyDescent="0.25">
      <c r="A678" s="18">
        <v>42317</v>
      </c>
      <c r="B678">
        <v>3.66</v>
      </c>
      <c r="C678">
        <v>6.1980000000000004</v>
      </c>
      <c r="D678">
        <v>4.2</v>
      </c>
      <c r="E678">
        <v>40.75</v>
      </c>
      <c r="F678">
        <v>3</v>
      </c>
      <c r="G678">
        <v>1</v>
      </c>
      <c r="H678">
        <v>12</v>
      </c>
      <c r="I678">
        <v>1</v>
      </c>
    </row>
    <row r="679" spans="1:9" x14ac:dyDescent="0.25">
      <c r="A679" s="18">
        <v>42318</v>
      </c>
      <c r="B679">
        <v>6.33</v>
      </c>
      <c r="C679">
        <v>7.4820000000000002</v>
      </c>
      <c r="D679">
        <v>10</v>
      </c>
      <c r="E679">
        <v>41.2</v>
      </c>
      <c r="F679">
        <v>8</v>
      </c>
      <c r="G679">
        <v>0</v>
      </c>
      <c r="H679">
        <v>9</v>
      </c>
      <c r="I679">
        <v>2</v>
      </c>
    </row>
    <row r="680" spans="1:9" x14ac:dyDescent="0.25">
      <c r="A680" s="18">
        <v>42319</v>
      </c>
      <c r="B680">
        <v>9.66</v>
      </c>
      <c r="C680">
        <v>5.34</v>
      </c>
      <c r="D680">
        <v>7.2</v>
      </c>
      <c r="E680">
        <v>60</v>
      </c>
      <c r="F680">
        <v>4</v>
      </c>
      <c r="G680">
        <v>0</v>
      </c>
      <c r="H680">
        <v>12</v>
      </c>
      <c r="I680">
        <v>3</v>
      </c>
    </row>
    <row r="681" spans="1:9" x14ac:dyDescent="0.25">
      <c r="A681" s="18">
        <v>42320</v>
      </c>
      <c r="B681">
        <v>6</v>
      </c>
      <c r="C681">
        <v>4.33</v>
      </c>
      <c r="D681">
        <v>6</v>
      </c>
      <c r="E681">
        <v>24</v>
      </c>
      <c r="F681">
        <v>11</v>
      </c>
      <c r="G681">
        <v>0</v>
      </c>
      <c r="H681">
        <v>20</v>
      </c>
      <c r="I681">
        <v>0</v>
      </c>
    </row>
    <row r="682" spans="1:9" x14ac:dyDescent="0.25">
      <c r="A682" s="18">
        <v>42321</v>
      </c>
      <c r="B682">
        <v>5</v>
      </c>
      <c r="C682">
        <v>2.44</v>
      </c>
      <c r="D682">
        <v>2</v>
      </c>
      <c r="E682">
        <v>22</v>
      </c>
      <c r="F682">
        <v>13</v>
      </c>
      <c r="G682">
        <v>0</v>
      </c>
      <c r="H682">
        <v>0</v>
      </c>
      <c r="I682">
        <v>0</v>
      </c>
    </row>
    <row r="683" spans="1:9" x14ac:dyDescent="0.25">
      <c r="A683" s="18">
        <v>42322</v>
      </c>
      <c r="B683">
        <v>4.99</v>
      </c>
      <c r="C683">
        <v>0.33</v>
      </c>
      <c r="D683">
        <v>3.7</v>
      </c>
      <c r="E683">
        <v>19</v>
      </c>
      <c r="F683">
        <v>5</v>
      </c>
      <c r="G683">
        <v>1</v>
      </c>
      <c r="H683">
        <v>0</v>
      </c>
      <c r="I683">
        <v>1</v>
      </c>
    </row>
    <row r="684" spans="1:9" x14ac:dyDescent="0.25">
      <c r="A684" s="18">
        <v>42323</v>
      </c>
      <c r="B684">
        <v>1.33</v>
      </c>
      <c r="C684">
        <v>11.99</v>
      </c>
      <c r="D684">
        <v>9.3000000000000007</v>
      </c>
      <c r="E684">
        <v>42.35</v>
      </c>
      <c r="F684">
        <v>8</v>
      </c>
      <c r="G684">
        <v>2</v>
      </c>
      <c r="H684">
        <v>17</v>
      </c>
      <c r="I684">
        <v>0</v>
      </c>
    </row>
    <row r="685" spans="1:9" x14ac:dyDescent="0.25">
      <c r="A685" s="18">
        <v>42324</v>
      </c>
      <c r="B685">
        <v>5.67</v>
      </c>
      <c r="C685">
        <v>3.67</v>
      </c>
      <c r="D685">
        <v>6</v>
      </c>
      <c r="E685">
        <v>50.3</v>
      </c>
      <c r="F685">
        <v>9</v>
      </c>
      <c r="G685">
        <v>0</v>
      </c>
      <c r="H685">
        <v>3</v>
      </c>
      <c r="I685">
        <v>2</v>
      </c>
    </row>
    <row r="686" spans="1:9" x14ac:dyDescent="0.25">
      <c r="A686" s="18">
        <v>42325</v>
      </c>
      <c r="B686">
        <v>6.34</v>
      </c>
      <c r="C686">
        <v>4.6929999999999996</v>
      </c>
      <c r="D686">
        <v>4.7</v>
      </c>
      <c r="E686">
        <v>60</v>
      </c>
      <c r="F686">
        <v>1</v>
      </c>
      <c r="G686">
        <v>0</v>
      </c>
      <c r="H686">
        <v>0</v>
      </c>
      <c r="I686">
        <v>2</v>
      </c>
    </row>
    <row r="687" spans="1:9" x14ac:dyDescent="0.25">
      <c r="A687" s="18">
        <v>42326</v>
      </c>
      <c r="B687">
        <v>6.34</v>
      </c>
      <c r="C687">
        <v>5.33</v>
      </c>
      <c r="D687">
        <v>5.5</v>
      </c>
      <c r="E687">
        <v>24.5</v>
      </c>
      <c r="F687">
        <v>11</v>
      </c>
      <c r="G687">
        <v>0</v>
      </c>
      <c r="H687">
        <v>0</v>
      </c>
      <c r="I687">
        <v>2</v>
      </c>
    </row>
    <row r="688" spans="1:9" x14ac:dyDescent="0.25">
      <c r="A688" s="18">
        <v>42327</v>
      </c>
      <c r="B688">
        <v>2</v>
      </c>
      <c r="C688">
        <v>2.99</v>
      </c>
      <c r="D688">
        <v>2.1</v>
      </c>
      <c r="E688">
        <v>26.4</v>
      </c>
      <c r="F688">
        <v>22</v>
      </c>
      <c r="G688">
        <v>0</v>
      </c>
      <c r="H688">
        <v>0</v>
      </c>
      <c r="I688">
        <v>0</v>
      </c>
    </row>
    <row r="689" spans="1:9" x14ac:dyDescent="0.25">
      <c r="A689" s="18">
        <v>42328</v>
      </c>
      <c r="B689">
        <v>5.66</v>
      </c>
      <c r="C689">
        <v>1.66</v>
      </c>
      <c r="D689">
        <v>3.8</v>
      </c>
      <c r="E689">
        <v>25.6</v>
      </c>
      <c r="F689">
        <v>2</v>
      </c>
      <c r="G689">
        <v>2</v>
      </c>
      <c r="H689">
        <v>10</v>
      </c>
      <c r="I689">
        <v>3</v>
      </c>
    </row>
    <row r="690" spans="1:9" x14ac:dyDescent="0.25">
      <c r="A690" s="18">
        <v>42329</v>
      </c>
      <c r="B690">
        <v>4</v>
      </c>
      <c r="C690">
        <v>2.0099999999999998</v>
      </c>
      <c r="D690">
        <v>5.2</v>
      </c>
      <c r="E690">
        <v>45.5</v>
      </c>
      <c r="F690">
        <v>4</v>
      </c>
      <c r="G690">
        <v>0</v>
      </c>
      <c r="H690">
        <v>17</v>
      </c>
      <c r="I690">
        <v>3</v>
      </c>
    </row>
    <row r="691" spans="1:9" x14ac:dyDescent="0.25">
      <c r="A691" s="18">
        <v>42330</v>
      </c>
      <c r="B691">
        <v>2</v>
      </c>
      <c r="C691">
        <v>3.4390000000000001</v>
      </c>
      <c r="D691">
        <v>2.6</v>
      </c>
      <c r="E691">
        <v>41.2</v>
      </c>
      <c r="F691">
        <v>6</v>
      </c>
      <c r="G691">
        <v>2</v>
      </c>
      <c r="H691">
        <v>2</v>
      </c>
      <c r="I691">
        <v>1</v>
      </c>
    </row>
    <row r="692" spans="1:9" x14ac:dyDescent="0.25">
      <c r="A692" s="18">
        <v>42331</v>
      </c>
      <c r="B692">
        <v>3</v>
      </c>
      <c r="C692">
        <v>1</v>
      </c>
      <c r="D692">
        <v>4.7</v>
      </c>
      <c r="E692">
        <v>69</v>
      </c>
      <c r="F692">
        <v>3</v>
      </c>
      <c r="G692">
        <v>0</v>
      </c>
      <c r="H692">
        <v>1</v>
      </c>
      <c r="I692">
        <v>2</v>
      </c>
    </row>
    <row r="693" spans="1:9" x14ac:dyDescent="0.25">
      <c r="A693" s="18">
        <v>42332</v>
      </c>
      <c r="B693">
        <v>5</v>
      </c>
      <c r="C693">
        <v>6.33</v>
      </c>
      <c r="D693">
        <v>6.4</v>
      </c>
      <c r="E693">
        <v>19.8</v>
      </c>
      <c r="F693">
        <v>12</v>
      </c>
      <c r="G693">
        <v>3</v>
      </c>
      <c r="H693">
        <v>1</v>
      </c>
      <c r="I693">
        <v>5</v>
      </c>
    </row>
    <row r="694" spans="1:9" x14ac:dyDescent="0.25">
      <c r="A694" s="18">
        <v>42333</v>
      </c>
      <c r="B694">
        <v>5.66</v>
      </c>
      <c r="C694">
        <v>5.33</v>
      </c>
      <c r="D694">
        <v>3.2</v>
      </c>
      <c r="E694">
        <v>29</v>
      </c>
      <c r="F694">
        <v>11</v>
      </c>
      <c r="G694">
        <v>0</v>
      </c>
      <c r="H694">
        <v>3</v>
      </c>
      <c r="I694">
        <v>3</v>
      </c>
    </row>
    <row r="695" spans="1:9" x14ac:dyDescent="0.25">
      <c r="A695" s="18">
        <v>42334</v>
      </c>
      <c r="B695">
        <v>4.33</v>
      </c>
      <c r="C695">
        <v>4</v>
      </c>
      <c r="D695">
        <v>2</v>
      </c>
      <c r="E695">
        <v>25.975000000000001</v>
      </c>
      <c r="F695">
        <v>8</v>
      </c>
      <c r="G695">
        <v>0</v>
      </c>
      <c r="H695">
        <v>0</v>
      </c>
      <c r="I695">
        <v>0</v>
      </c>
    </row>
    <row r="696" spans="1:9" x14ac:dyDescent="0.25">
      <c r="A696" s="18">
        <v>42335</v>
      </c>
      <c r="B696">
        <v>0.67</v>
      </c>
      <c r="C696">
        <v>4.3730000000000002</v>
      </c>
      <c r="D696">
        <v>2</v>
      </c>
      <c r="E696">
        <v>20.8</v>
      </c>
      <c r="F696">
        <v>7</v>
      </c>
      <c r="G696">
        <v>0</v>
      </c>
      <c r="H696">
        <v>0</v>
      </c>
      <c r="I696">
        <v>0</v>
      </c>
    </row>
    <row r="697" spans="1:9" x14ac:dyDescent="0.25">
      <c r="A697" s="18">
        <v>42336</v>
      </c>
      <c r="B697">
        <v>6.33</v>
      </c>
      <c r="C697">
        <v>3.66</v>
      </c>
      <c r="D697">
        <v>4</v>
      </c>
      <c r="E697">
        <v>46.825000000000003</v>
      </c>
      <c r="F697">
        <v>3</v>
      </c>
      <c r="G697">
        <v>0</v>
      </c>
      <c r="H697">
        <v>10</v>
      </c>
      <c r="I697">
        <v>1</v>
      </c>
    </row>
    <row r="698" spans="1:9" x14ac:dyDescent="0.25">
      <c r="A698" s="18">
        <v>42337</v>
      </c>
      <c r="B698">
        <v>6.66</v>
      </c>
      <c r="C698">
        <v>3.726</v>
      </c>
      <c r="D698">
        <v>6</v>
      </c>
      <c r="E698">
        <v>42.2</v>
      </c>
      <c r="F698">
        <v>1</v>
      </c>
      <c r="G698">
        <v>0</v>
      </c>
      <c r="H698">
        <v>4</v>
      </c>
      <c r="I698">
        <v>0</v>
      </c>
    </row>
    <row r="699" spans="1:9" x14ac:dyDescent="0.25">
      <c r="A699" s="18">
        <v>42338</v>
      </c>
      <c r="B699">
        <v>7.33</v>
      </c>
      <c r="C699">
        <v>1.825</v>
      </c>
      <c r="D699">
        <v>5</v>
      </c>
      <c r="E699">
        <v>35.299999999999997</v>
      </c>
      <c r="F699">
        <v>5</v>
      </c>
      <c r="G699">
        <v>1</v>
      </c>
      <c r="H699">
        <v>6</v>
      </c>
      <c r="I699">
        <v>3</v>
      </c>
    </row>
    <row r="700" spans="1:9" x14ac:dyDescent="0.25">
      <c r="A700" s="18">
        <v>42339</v>
      </c>
      <c r="B700">
        <v>1.99</v>
      </c>
      <c r="C700">
        <v>2.0230000000000001</v>
      </c>
      <c r="D700">
        <v>6.3</v>
      </c>
      <c r="E700">
        <v>23.9</v>
      </c>
      <c r="F700">
        <v>4</v>
      </c>
      <c r="G700">
        <v>1</v>
      </c>
      <c r="H700">
        <v>5</v>
      </c>
      <c r="I700">
        <v>1</v>
      </c>
    </row>
    <row r="701" spans="1:9" x14ac:dyDescent="0.25">
      <c r="A701" s="18">
        <v>42340</v>
      </c>
      <c r="B701">
        <v>1</v>
      </c>
      <c r="C701">
        <v>3.33</v>
      </c>
      <c r="D701">
        <v>2.4</v>
      </c>
      <c r="E701">
        <v>42</v>
      </c>
      <c r="F701">
        <v>23</v>
      </c>
      <c r="G701">
        <v>4</v>
      </c>
      <c r="H701">
        <v>0</v>
      </c>
      <c r="I701">
        <v>0</v>
      </c>
    </row>
    <row r="702" spans="1:9" x14ac:dyDescent="0.25">
      <c r="A702" s="18">
        <v>42341</v>
      </c>
      <c r="B702">
        <v>4</v>
      </c>
      <c r="C702">
        <v>3</v>
      </c>
      <c r="D702">
        <v>5.6</v>
      </c>
      <c r="E702">
        <v>56</v>
      </c>
      <c r="F702">
        <v>6</v>
      </c>
      <c r="G702">
        <v>1</v>
      </c>
      <c r="H702">
        <v>1</v>
      </c>
      <c r="I702">
        <v>1</v>
      </c>
    </row>
    <row r="703" spans="1:9" x14ac:dyDescent="0.25">
      <c r="A703" s="18">
        <v>42342</v>
      </c>
      <c r="B703">
        <v>3.33</v>
      </c>
      <c r="C703">
        <v>4.7590000000000003</v>
      </c>
      <c r="D703">
        <v>4.7</v>
      </c>
      <c r="E703">
        <v>25.6</v>
      </c>
      <c r="F703">
        <v>9</v>
      </c>
      <c r="G703">
        <v>3</v>
      </c>
      <c r="H703">
        <v>3</v>
      </c>
      <c r="I703">
        <v>1</v>
      </c>
    </row>
    <row r="704" spans="1:9" x14ac:dyDescent="0.25">
      <c r="A704" s="18">
        <v>42343</v>
      </c>
      <c r="B704">
        <v>8</v>
      </c>
      <c r="C704">
        <v>3.0329999999999999</v>
      </c>
      <c r="D704">
        <v>2</v>
      </c>
      <c r="E704">
        <v>35.049999999999997</v>
      </c>
      <c r="F704">
        <v>2</v>
      </c>
      <c r="G704">
        <v>0</v>
      </c>
      <c r="H704">
        <v>7</v>
      </c>
      <c r="I704">
        <v>2.33</v>
      </c>
    </row>
    <row r="705" spans="1:9" x14ac:dyDescent="0.25">
      <c r="A705" s="18">
        <v>42344</v>
      </c>
      <c r="B705">
        <v>5.67</v>
      </c>
      <c r="C705">
        <v>7</v>
      </c>
      <c r="D705">
        <v>3.4</v>
      </c>
      <c r="E705">
        <v>60.4</v>
      </c>
      <c r="F705">
        <v>5</v>
      </c>
      <c r="G705">
        <v>2</v>
      </c>
      <c r="H705">
        <v>3</v>
      </c>
      <c r="I705">
        <v>1</v>
      </c>
    </row>
    <row r="706" spans="1:9" x14ac:dyDescent="0.25">
      <c r="A706" s="18">
        <v>42345</v>
      </c>
      <c r="B706">
        <v>3</v>
      </c>
      <c r="C706">
        <v>2.0990000000000002</v>
      </c>
      <c r="D706">
        <v>2.2000000000000002</v>
      </c>
      <c r="E706">
        <v>26.5</v>
      </c>
      <c r="F706">
        <v>6</v>
      </c>
      <c r="G706">
        <v>1</v>
      </c>
      <c r="H706">
        <v>11</v>
      </c>
      <c r="I706">
        <v>6</v>
      </c>
    </row>
    <row r="707" spans="1:9" x14ac:dyDescent="0.25">
      <c r="A707" s="18">
        <v>42346</v>
      </c>
      <c r="B707">
        <v>2</v>
      </c>
      <c r="C707">
        <v>6.34</v>
      </c>
      <c r="D707">
        <v>2</v>
      </c>
      <c r="E707">
        <v>41.325000000000003</v>
      </c>
      <c r="F707">
        <v>8</v>
      </c>
      <c r="G707">
        <v>0</v>
      </c>
      <c r="H707">
        <v>0</v>
      </c>
      <c r="I707">
        <v>0</v>
      </c>
    </row>
    <row r="708" spans="1:9" x14ac:dyDescent="0.25">
      <c r="A708" s="18">
        <v>42347</v>
      </c>
      <c r="B708">
        <v>3.34</v>
      </c>
      <c r="C708">
        <v>3.472</v>
      </c>
      <c r="D708">
        <v>7</v>
      </c>
      <c r="E708">
        <v>41.262</v>
      </c>
      <c r="F708">
        <v>16</v>
      </c>
      <c r="G708">
        <v>0</v>
      </c>
      <c r="H708">
        <v>3</v>
      </c>
      <c r="I708">
        <v>1</v>
      </c>
    </row>
    <row r="709" spans="1:9" x14ac:dyDescent="0.25">
      <c r="A709" s="18">
        <v>42348</v>
      </c>
      <c r="B709">
        <v>11.66</v>
      </c>
      <c r="C709">
        <v>10.69</v>
      </c>
      <c r="D709">
        <v>16</v>
      </c>
      <c r="E709">
        <v>31.9</v>
      </c>
      <c r="F709">
        <v>9</v>
      </c>
      <c r="G709">
        <v>0</v>
      </c>
      <c r="H709">
        <v>9</v>
      </c>
      <c r="I709">
        <v>2.1</v>
      </c>
    </row>
    <row r="710" spans="1:9" x14ac:dyDescent="0.25">
      <c r="A710" s="18">
        <v>42349</v>
      </c>
      <c r="B710">
        <v>5.84</v>
      </c>
      <c r="C710">
        <v>6.165</v>
      </c>
      <c r="D710">
        <v>3</v>
      </c>
      <c r="E710">
        <v>22.7</v>
      </c>
      <c r="F710">
        <v>9</v>
      </c>
      <c r="G710">
        <v>0</v>
      </c>
      <c r="H710">
        <v>16</v>
      </c>
      <c r="I710">
        <v>1</v>
      </c>
    </row>
    <row r="711" spans="1:9" x14ac:dyDescent="0.25">
      <c r="A711" s="18">
        <v>42350</v>
      </c>
      <c r="B711">
        <v>6.34</v>
      </c>
      <c r="C711">
        <v>3.2</v>
      </c>
      <c r="D711">
        <v>3</v>
      </c>
      <c r="E711">
        <v>42.2</v>
      </c>
      <c r="F711">
        <v>5</v>
      </c>
      <c r="G711">
        <v>2</v>
      </c>
      <c r="H711">
        <v>6</v>
      </c>
      <c r="I711">
        <v>1</v>
      </c>
    </row>
    <row r="712" spans="1:9" x14ac:dyDescent="0.25">
      <c r="A712" s="18">
        <v>42351</v>
      </c>
      <c r="B712">
        <v>9.33</v>
      </c>
      <c r="C712">
        <v>4.32</v>
      </c>
      <c r="D712">
        <v>7</v>
      </c>
      <c r="E712">
        <v>29</v>
      </c>
      <c r="F712">
        <v>5</v>
      </c>
      <c r="G712">
        <v>0</v>
      </c>
      <c r="H712">
        <v>27</v>
      </c>
      <c r="I712">
        <v>0</v>
      </c>
    </row>
    <row r="713" spans="1:9" x14ac:dyDescent="0.25">
      <c r="A713" s="18">
        <v>42352</v>
      </c>
      <c r="B713">
        <v>5</v>
      </c>
      <c r="C713">
        <v>3</v>
      </c>
      <c r="D713">
        <v>6.6</v>
      </c>
      <c r="E713">
        <v>37.4</v>
      </c>
      <c r="F713">
        <v>11</v>
      </c>
      <c r="G713">
        <v>0</v>
      </c>
      <c r="H713">
        <v>21</v>
      </c>
      <c r="I713">
        <v>1</v>
      </c>
    </row>
    <row r="714" spans="1:9" x14ac:dyDescent="0.25">
      <c r="A714" s="18">
        <v>42353</v>
      </c>
      <c r="B714">
        <v>4.99</v>
      </c>
      <c r="C714">
        <v>2</v>
      </c>
      <c r="D714">
        <v>5</v>
      </c>
      <c r="E714">
        <v>42</v>
      </c>
      <c r="F714">
        <v>3</v>
      </c>
      <c r="G714">
        <v>1</v>
      </c>
      <c r="H714">
        <v>2</v>
      </c>
      <c r="I714">
        <v>1</v>
      </c>
    </row>
    <row r="715" spans="1:9" x14ac:dyDescent="0.25">
      <c r="A715" s="18">
        <v>42354</v>
      </c>
      <c r="B715">
        <v>6.67</v>
      </c>
      <c r="C715">
        <v>4</v>
      </c>
      <c r="D715">
        <v>4</v>
      </c>
      <c r="E715">
        <v>42</v>
      </c>
      <c r="F715">
        <v>11</v>
      </c>
      <c r="G715">
        <v>1</v>
      </c>
      <c r="H715">
        <v>11</v>
      </c>
      <c r="I715">
        <v>0</v>
      </c>
    </row>
    <row r="716" spans="1:9" x14ac:dyDescent="0.25">
      <c r="A716" s="18">
        <v>42355</v>
      </c>
      <c r="B716">
        <v>9</v>
      </c>
      <c r="C716">
        <v>3.01</v>
      </c>
      <c r="D716">
        <v>3</v>
      </c>
      <c r="E716">
        <v>25</v>
      </c>
      <c r="F716">
        <v>7</v>
      </c>
      <c r="G716">
        <v>0</v>
      </c>
      <c r="H716">
        <v>0</v>
      </c>
      <c r="I716">
        <v>2</v>
      </c>
    </row>
    <row r="717" spans="1:9" x14ac:dyDescent="0.25">
      <c r="A717" s="18">
        <v>42356</v>
      </c>
      <c r="B717">
        <v>4.33</v>
      </c>
      <c r="C717">
        <v>8.9009999999999998</v>
      </c>
      <c r="D717">
        <v>4.3</v>
      </c>
      <c r="E717">
        <v>27.2</v>
      </c>
      <c r="F717">
        <v>12</v>
      </c>
      <c r="G717">
        <v>4</v>
      </c>
      <c r="H717">
        <v>2</v>
      </c>
      <c r="I717">
        <v>1</v>
      </c>
    </row>
    <row r="718" spans="1:9" x14ac:dyDescent="0.25">
      <c r="A718" s="18">
        <v>42357</v>
      </c>
      <c r="B718">
        <v>8.68</v>
      </c>
      <c r="C718">
        <v>3.2</v>
      </c>
      <c r="D718">
        <v>5</v>
      </c>
      <c r="E718">
        <v>35.049999999999997</v>
      </c>
      <c r="F718">
        <v>3</v>
      </c>
      <c r="G718">
        <v>0</v>
      </c>
      <c r="H718">
        <v>12</v>
      </c>
      <c r="I718">
        <v>1</v>
      </c>
    </row>
    <row r="719" spans="1:9" x14ac:dyDescent="0.25">
      <c r="A719" s="18">
        <v>42358</v>
      </c>
      <c r="B719">
        <v>3</v>
      </c>
      <c r="C719">
        <v>3.4740000000000002</v>
      </c>
      <c r="D719">
        <v>2.2000000000000002</v>
      </c>
      <c r="E719">
        <v>43</v>
      </c>
      <c r="F719">
        <v>3</v>
      </c>
      <c r="G719">
        <v>0</v>
      </c>
      <c r="H719">
        <v>16</v>
      </c>
      <c r="I719">
        <v>1</v>
      </c>
    </row>
    <row r="720" spans="1:9" x14ac:dyDescent="0.25">
      <c r="A720" s="18">
        <v>42359</v>
      </c>
      <c r="B720">
        <v>5</v>
      </c>
      <c r="C720">
        <v>6.34</v>
      </c>
      <c r="D720">
        <v>2</v>
      </c>
      <c r="E720">
        <v>53.6</v>
      </c>
      <c r="F720">
        <v>14</v>
      </c>
      <c r="G720">
        <v>0</v>
      </c>
      <c r="H720">
        <v>6</v>
      </c>
      <c r="I720">
        <v>0.4</v>
      </c>
    </row>
    <row r="721" spans="1:9" x14ac:dyDescent="0.25">
      <c r="A721" s="18">
        <v>42360</v>
      </c>
      <c r="B721">
        <v>5.66</v>
      </c>
      <c r="C721">
        <v>0</v>
      </c>
      <c r="D721">
        <v>5</v>
      </c>
      <c r="E721">
        <v>48</v>
      </c>
      <c r="F721">
        <v>6</v>
      </c>
      <c r="G721">
        <v>0</v>
      </c>
      <c r="H721">
        <v>13</v>
      </c>
      <c r="I721">
        <v>1</v>
      </c>
    </row>
    <row r="722" spans="1:9" x14ac:dyDescent="0.25">
      <c r="A722" s="18">
        <v>42361</v>
      </c>
      <c r="B722">
        <v>3.33</v>
      </c>
      <c r="C722">
        <v>4.01</v>
      </c>
      <c r="D722">
        <v>2.2999999999999998</v>
      </c>
      <c r="E722">
        <v>28.8</v>
      </c>
      <c r="F722">
        <v>3</v>
      </c>
      <c r="G722">
        <v>0</v>
      </c>
      <c r="H722">
        <v>0</v>
      </c>
      <c r="I722">
        <v>0</v>
      </c>
    </row>
    <row r="723" spans="1:9" x14ac:dyDescent="0.25">
      <c r="A723" s="18">
        <v>42362</v>
      </c>
      <c r="B723">
        <v>7.33</v>
      </c>
      <c r="C723">
        <v>3.3959999999999999</v>
      </c>
      <c r="D723">
        <v>5</v>
      </c>
      <c r="E723">
        <v>28.3</v>
      </c>
      <c r="F723">
        <v>5</v>
      </c>
      <c r="G723">
        <v>0</v>
      </c>
      <c r="H723">
        <v>16</v>
      </c>
      <c r="I723">
        <v>0</v>
      </c>
    </row>
    <row r="724" spans="1:9" x14ac:dyDescent="0.25">
      <c r="A724" s="18">
        <v>42363</v>
      </c>
      <c r="B724">
        <v>0.66</v>
      </c>
      <c r="C724">
        <v>4.66</v>
      </c>
      <c r="D724">
        <v>2</v>
      </c>
      <c r="E724">
        <v>20.661999999999999</v>
      </c>
      <c r="F724">
        <v>28</v>
      </c>
      <c r="G724">
        <v>2</v>
      </c>
      <c r="H724">
        <v>1</v>
      </c>
      <c r="I724">
        <v>1</v>
      </c>
    </row>
    <row r="725" spans="1:9" x14ac:dyDescent="0.25">
      <c r="A725" s="18">
        <v>42364</v>
      </c>
      <c r="B725">
        <v>4.67</v>
      </c>
      <c r="C725">
        <v>1.66</v>
      </c>
      <c r="D725">
        <v>5</v>
      </c>
      <c r="E725">
        <v>87.2</v>
      </c>
      <c r="F725">
        <v>15</v>
      </c>
      <c r="G725">
        <v>3</v>
      </c>
      <c r="H725">
        <v>0</v>
      </c>
      <c r="I725">
        <v>4.3</v>
      </c>
    </row>
    <row r="726" spans="1:9" x14ac:dyDescent="0.25">
      <c r="A726" s="18">
        <v>42365</v>
      </c>
      <c r="B726">
        <v>5.33</v>
      </c>
      <c r="C726">
        <v>6.7919999999999998</v>
      </c>
      <c r="D726">
        <v>5.2</v>
      </c>
      <c r="E726">
        <v>63.5</v>
      </c>
      <c r="F726">
        <v>4</v>
      </c>
      <c r="G726">
        <v>0</v>
      </c>
      <c r="H726">
        <v>14</v>
      </c>
      <c r="I726">
        <v>4.5999999999999996</v>
      </c>
    </row>
    <row r="727" spans="1:9" x14ac:dyDescent="0.25">
      <c r="A727" s="18">
        <v>42366</v>
      </c>
      <c r="B727">
        <v>4</v>
      </c>
      <c r="C727">
        <v>5.0990000000000002</v>
      </c>
      <c r="D727">
        <v>9.1999999999999993</v>
      </c>
      <c r="E727">
        <v>61.5</v>
      </c>
      <c r="F727">
        <v>18</v>
      </c>
      <c r="G727">
        <v>3</v>
      </c>
      <c r="H727">
        <v>26</v>
      </c>
      <c r="I727">
        <v>1</v>
      </c>
    </row>
    <row r="728" spans="1:9" x14ac:dyDescent="0.25">
      <c r="A728" s="18">
        <v>42367</v>
      </c>
      <c r="B728">
        <v>10.67</v>
      </c>
      <c r="C728">
        <v>2.33</v>
      </c>
      <c r="D728">
        <v>2</v>
      </c>
      <c r="E728">
        <v>71.599999999999994</v>
      </c>
      <c r="F728">
        <v>9</v>
      </c>
      <c r="G728">
        <v>0</v>
      </c>
      <c r="H728">
        <v>2</v>
      </c>
      <c r="I728">
        <v>3</v>
      </c>
    </row>
    <row r="729" spans="1:9" x14ac:dyDescent="0.25">
      <c r="A729" s="18">
        <v>42368</v>
      </c>
      <c r="B729">
        <v>6.66</v>
      </c>
      <c r="C729">
        <v>7.0890000000000004</v>
      </c>
      <c r="D729">
        <v>2</v>
      </c>
      <c r="E729">
        <v>56.4</v>
      </c>
      <c r="F729">
        <v>12</v>
      </c>
      <c r="G729">
        <v>0</v>
      </c>
      <c r="H729">
        <v>4</v>
      </c>
      <c r="I729">
        <v>2</v>
      </c>
    </row>
    <row r="730" spans="1:9" x14ac:dyDescent="0.25">
      <c r="A730" s="18">
        <v>42369</v>
      </c>
      <c r="B730">
        <v>7.66</v>
      </c>
      <c r="C730">
        <v>6.0990000000000002</v>
      </c>
      <c r="D730">
        <v>7.6</v>
      </c>
      <c r="E730">
        <v>44.35</v>
      </c>
      <c r="F730">
        <v>18</v>
      </c>
      <c r="G730">
        <v>0</v>
      </c>
      <c r="H730">
        <v>6</v>
      </c>
      <c r="I730">
        <v>1</v>
      </c>
    </row>
    <row r="731" spans="1:9" x14ac:dyDescent="0.25">
      <c r="A731" s="18">
        <v>42370</v>
      </c>
      <c r="B731">
        <v>12.33</v>
      </c>
      <c r="C731">
        <v>6.056</v>
      </c>
      <c r="D731">
        <v>2.5</v>
      </c>
      <c r="E731">
        <v>79.8</v>
      </c>
      <c r="F731">
        <v>5</v>
      </c>
      <c r="G731">
        <v>2</v>
      </c>
      <c r="H731">
        <v>1</v>
      </c>
      <c r="I731">
        <v>1</v>
      </c>
    </row>
    <row r="732" spans="1:9" x14ac:dyDescent="0.25">
      <c r="A732" s="18">
        <v>42371</v>
      </c>
      <c r="B732">
        <v>0.34</v>
      </c>
      <c r="C732">
        <v>1.02</v>
      </c>
      <c r="D732">
        <v>1</v>
      </c>
      <c r="E732">
        <v>51.2</v>
      </c>
      <c r="F732">
        <v>0</v>
      </c>
      <c r="G732">
        <v>1</v>
      </c>
      <c r="H732">
        <v>5</v>
      </c>
      <c r="I732">
        <v>5</v>
      </c>
    </row>
    <row r="733" spans="1:9" x14ac:dyDescent="0.25">
      <c r="A733" s="18">
        <v>42372</v>
      </c>
      <c r="B733">
        <v>4</v>
      </c>
      <c r="C733">
        <v>4</v>
      </c>
      <c r="D733">
        <v>2.5</v>
      </c>
      <c r="E733">
        <v>56.1</v>
      </c>
      <c r="F733">
        <v>1</v>
      </c>
      <c r="G733">
        <v>0</v>
      </c>
      <c r="H733">
        <v>5</v>
      </c>
      <c r="I733">
        <v>1</v>
      </c>
    </row>
    <row r="734" spans="1:9" x14ac:dyDescent="0.25">
      <c r="A734" s="18">
        <v>42373</v>
      </c>
      <c r="B734">
        <v>7.33</v>
      </c>
      <c r="C734">
        <v>5.99</v>
      </c>
      <c r="D734">
        <v>6</v>
      </c>
      <c r="E734">
        <v>46.6</v>
      </c>
      <c r="F734">
        <v>6</v>
      </c>
      <c r="G734">
        <v>0</v>
      </c>
      <c r="H734">
        <v>12</v>
      </c>
      <c r="I734">
        <v>1</v>
      </c>
    </row>
    <row r="735" spans="1:9" x14ac:dyDescent="0.25">
      <c r="A735" s="18">
        <v>42374</v>
      </c>
      <c r="B735">
        <v>5.33</v>
      </c>
      <c r="C735">
        <v>5.99</v>
      </c>
      <c r="D735">
        <v>4.5999999999999996</v>
      </c>
      <c r="E735">
        <v>38.6</v>
      </c>
      <c r="F735">
        <v>15</v>
      </c>
      <c r="G735">
        <v>0</v>
      </c>
      <c r="H735">
        <v>5</v>
      </c>
      <c r="I735">
        <v>1</v>
      </c>
    </row>
    <row r="736" spans="1:9" x14ac:dyDescent="0.25">
      <c r="A736" s="18">
        <v>42375</v>
      </c>
      <c r="B736">
        <v>6.66</v>
      </c>
      <c r="C736">
        <v>3</v>
      </c>
      <c r="D736">
        <v>6</v>
      </c>
      <c r="E736">
        <v>61.9</v>
      </c>
      <c r="F736">
        <v>2</v>
      </c>
      <c r="G736">
        <v>0</v>
      </c>
      <c r="H736">
        <v>12</v>
      </c>
      <c r="I736">
        <v>2</v>
      </c>
    </row>
    <row r="737" spans="1:9" x14ac:dyDescent="0.25">
      <c r="A737" s="18">
        <v>42376</v>
      </c>
      <c r="B737">
        <v>4.33</v>
      </c>
      <c r="C737">
        <v>4</v>
      </c>
      <c r="D737">
        <v>12</v>
      </c>
      <c r="E737">
        <v>60.4</v>
      </c>
      <c r="F737">
        <v>3</v>
      </c>
      <c r="G737">
        <v>0</v>
      </c>
      <c r="H737">
        <v>5</v>
      </c>
      <c r="I737">
        <v>1</v>
      </c>
    </row>
    <row r="738" spans="1:9" x14ac:dyDescent="0.25">
      <c r="A738" s="18">
        <v>42377</v>
      </c>
      <c r="B738">
        <v>8</v>
      </c>
      <c r="C738">
        <v>3.4630000000000001</v>
      </c>
      <c r="D738">
        <v>7.7</v>
      </c>
      <c r="E738">
        <v>39.200000000000003</v>
      </c>
      <c r="F738">
        <v>8</v>
      </c>
      <c r="G738">
        <v>3</v>
      </c>
      <c r="H738">
        <v>2</v>
      </c>
      <c r="I738">
        <v>2</v>
      </c>
    </row>
    <row r="739" spans="1:9" x14ac:dyDescent="0.25">
      <c r="A739" s="18">
        <v>42378</v>
      </c>
      <c r="B739">
        <v>7.33</v>
      </c>
      <c r="C739">
        <v>2.66</v>
      </c>
      <c r="D739">
        <v>5</v>
      </c>
      <c r="E739">
        <v>88.3</v>
      </c>
      <c r="F739">
        <v>9</v>
      </c>
      <c r="G739">
        <v>0</v>
      </c>
      <c r="H739">
        <v>3</v>
      </c>
      <c r="I739">
        <v>3</v>
      </c>
    </row>
    <row r="740" spans="1:9" x14ac:dyDescent="0.25">
      <c r="A740" s="18">
        <v>42379</v>
      </c>
      <c r="B740">
        <v>7</v>
      </c>
      <c r="C740">
        <v>4.0330000000000004</v>
      </c>
      <c r="D740">
        <v>12</v>
      </c>
      <c r="E740">
        <v>67.599999999999994</v>
      </c>
      <c r="F740">
        <v>8</v>
      </c>
      <c r="G740">
        <v>1</v>
      </c>
      <c r="H740">
        <v>1</v>
      </c>
      <c r="I740">
        <v>0</v>
      </c>
    </row>
    <row r="741" spans="1:9" x14ac:dyDescent="0.25">
      <c r="A741" s="18">
        <v>42380</v>
      </c>
      <c r="B741">
        <v>9.34</v>
      </c>
      <c r="C741">
        <v>5.66</v>
      </c>
      <c r="D741">
        <v>7</v>
      </c>
      <c r="E741">
        <v>64.900000000000006</v>
      </c>
      <c r="F741">
        <v>18</v>
      </c>
      <c r="G741">
        <v>0</v>
      </c>
      <c r="H741">
        <v>0</v>
      </c>
      <c r="I741">
        <v>4</v>
      </c>
    </row>
    <row r="742" spans="1:9" x14ac:dyDescent="0.25">
      <c r="A742" s="18">
        <v>42381</v>
      </c>
      <c r="B742">
        <v>12</v>
      </c>
      <c r="C742">
        <v>3.1320000000000001</v>
      </c>
      <c r="D742">
        <v>12</v>
      </c>
      <c r="E742">
        <v>61.35</v>
      </c>
      <c r="F742">
        <v>8</v>
      </c>
      <c r="G742">
        <v>0</v>
      </c>
      <c r="H742">
        <v>0</v>
      </c>
      <c r="I742">
        <v>0</v>
      </c>
    </row>
    <row r="743" spans="1:9" x14ac:dyDescent="0.25">
      <c r="A743" s="18">
        <v>42382</v>
      </c>
      <c r="B743">
        <v>9</v>
      </c>
      <c r="C743">
        <v>1.66</v>
      </c>
      <c r="D743">
        <v>5</v>
      </c>
      <c r="E743">
        <v>41.7</v>
      </c>
      <c r="F743">
        <v>15</v>
      </c>
      <c r="G743">
        <v>0</v>
      </c>
      <c r="H743">
        <v>1</v>
      </c>
      <c r="I743">
        <v>2</v>
      </c>
    </row>
    <row r="744" spans="1:9" x14ac:dyDescent="0.25">
      <c r="A744" s="18">
        <v>42383</v>
      </c>
      <c r="B744">
        <v>2</v>
      </c>
      <c r="C744">
        <v>5.1550000000000002</v>
      </c>
      <c r="D744">
        <v>6</v>
      </c>
      <c r="E744">
        <v>69</v>
      </c>
      <c r="F744">
        <v>18</v>
      </c>
      <c r="G744">
        <v>0</v>
      </c>
      <c r="H744">
        <v>8</v>
      </c>
      <c r="I744">
        <v>2</v>
      </c>
    </row>
    <row r="745" spans="1:9" x14ac:dyDescent="0.25">
      <c r="A745" s="18">
        <v>42384</v>
      </c>
      <c r="B745">
        <v>8.98</v>
      </c>
      <c r="C745">
        <v>4.66</v>
      </c>
      <c r="D745">
        <v>10.6</v>
      </c>
      <c r="E745">
        <v>18.100000000000001</v>
      </c>
      <c r="F745">
        <v>8</v>
      </c>
      <c r="G745">
        <v>0</v>
      </c>
      <c r="H745">
        <v>10</v>
      </c>
      <c r="I745">
        <v>2</v>
      </c>
    </row>
    <row r="746" spans="1:9" x14ac:dyDescent="0.25">
      <c r="A746" s="18">
        <v>42385</v>
      </c>
      <c r="B746">
        <v>3.34</v>
      </c>
      <c r="C746">
        <v>5.34</v>
      </c>
      <c r="D746">
        <v>6</v>
      </c>
      <c r="E746">
        <v>63.6</v>
      </c>
      <c r="F746">
        <v>11</v>
      </c>
      <c r="G746">
        <v>0</v>
      </c>
      <c r="H746">
        <v>2</v>
      </c>
      <c r="I746">
        <v>1</v>
      </c>
    </row>
    <row r="747" spans="1:9" x14ac:dyDescent="0.25">
      <c r="A747" s="18">
        <v>42386</v>
      </c>
      <c r="B747">
        <v>7.01</v>
      </c>
      <c r="C747">
        <v>1.6040000000000001</v>
      </c>
      <c r="D747">
        <v>3.9</v>
      </c>
      <c r="E747">
        <v>46.6</v>
      </c>
      <c r="F747">
        <v>4</v>
      </c>
      <c r="G747">
        <v>0</v>
      </c>
      <c r="H747">
        <v>0</v>
      </c>
      <c r="I747">
        <v>1</v>
      </c>
    </row>
    <row r="748" spans="1:9" x14ac:dyDescent="0.25">
      <c r="A748" s="18">
        <v>42387</v>
      </c>
      <c r="B748">
        <v>3.5</v>
      </c>
      <c r="C748">
        <v>2.99</v>
      </c>
      <c r="D748">
        <v>4.3</v>
      </c>
      <c r="E748">
        <v>62.8</v>
      </c>
      <c r="F748">
        <v>3</v>
      </c>
      <c r="G748">
        <v>2</v>
      </c>
      <c r="H748">
        <v>9</v>
      </c>
      <c r="I748">
        <v>2</v>
      </c>
    </row>
    <row r="749" spans="1:9" x14ac:dyDescent="0.25">
      <c r="A749" s="18">
        <v>42388</v>
      </c>
      <c r="B749">
        <v>6</v>
      </c>
      <c r="C749">
        <v>5.66</v>
      </c>
      <c r="D749">
        <v>6</v>
      </c>
      <c r="E749">
        <v>49.8</v>
      </c>
      <c r="F749">
        <v>7</v>
      </c>
      <c r="G749">
        <v>0</v>
      </c>
      <c r="H749">
        <v>0</v>
      </c>
      <c r="I749">
        <v>3</v>
      </c>
    </row>
    <row r="750" spans="1:9" x14ac:dyDescent="0.25">
      <c r="A750" s="18">
        <v>42389</v>
      </c>
      <c r="B750">
        <v>2.3199999999999998</v>
      </c>
      <c r="C750">
        <v>3.363</v>
      </c>
      <c r="D750">
        <v>3</v>
      </c>
      <c r="E750">
        <v>15.1</v>
      </c>
      <c r="F750">
        <v>29</v>
      </c>
      <c r="G750">
        <v>3</v>
      </c>
      <c r="H750">
        <v>3</v>
      </c>
      <c r="I750">
        <v>2</v>
      </c>
    </row>
    <row r="751" spans="1:9" x14ac:dyDescent="0.25">
      <c r="A751" s="18">
        <v>42390</v>
      </c>
      <c r="B751">
        <v>5</v>
      </c>
      <c r="C751">
        <v>1.43</v>
      </c>
      <c r="D751">
        <v>1</v>
      </c>
      <c r="E751">
        <v>68.400000000000006</v>
      </c>
      <c r="F751">
        <v>8</v>
      </c>
      <c r="G751">
        <v>4</v>
      </c>
      <c r="H751">
        <v>6</v>
      </c>
      <c r="I751">
        <v>5</v>
      </c>
    </row>
    <row r="752" spans="1:9" x14ac:dyDescent="0.25">
      <c r="A752" s="18">
        <v>42391</v>
      </c>
      <c r="B752">
        <v>0.83</v>
      </c>
      <c r="C752">
        <v>7.6779999999999999</v>
      </c>
      <c r="D752">
        <v>7</v>
      </c>
      <c r="E752">
        <v>39.5</v>
      </c>
      <c r="F752">
        <v>11</v>
      </c>
      <c r="G752">
        <v>0</v>
      </c>
      <c r="H752">
        <v>10</v>
      </c>
      <c r="I752">
        <v>0</v>
      </c>
    </row>
    <row r="753" spans="1:9" x14ac:dyDescent="0.25">
      <c r="A753" s="18">
        <v>42392</v>
      </c>
      <c r="B753">
        <v>6.33</v>
      </c>
      <c r="C753">
        <v>6.1319999999999997</v>
      </c>
      <c r="D753">
        <v>7.1</v>
      </c>
      <c r="E753">
        <v>36.799999999999997</v>
      </c>
      <c r="F753">
        <v>4</v>
      </c>
      <c r="G753">
        <v>0</v>
      </c>
      <c r="H753">
        <v>6</v>
      </c>
      <c r="I753">
        <v>2</v>
      </c>
    </row>
    <row r="754" spans="1:9" x14ac:dyDescent="0.25">
      <c r="A754" s="18">
        <v>42393</v>
      </c>
      <c r="B754">
        <v>4</v>
      </c>
      <c r="C754">
        <v>6.1219999999999999</v>
      </c>
      <c r="D754">
        <v>11.3</v>
      </c>
      <c r="E754">
        <v>48.1</v>
      </c>
      <c r="F754">
        <v>3</v>
      </c>
      <c r="G754">
        <v>0</v>
      </c>
      <c r="H754">
        <v>12</v>
      </c>
      <c r="I754">
        <v>3</v>
      </c>
    </row>
    <row r="755" spans="1:9" x14ac:dyDescent="0.25">
      <c r="A755" s="18">
        <v>42394</v>
      </c>
      <c r="B755">
        <v>10.33</v>
      </c>
      <c r="C755">
        <v>4.26</v>
      </c>
      <c r="D755">
        <v>4</v>
      </c>
      <c r="E755">
        <v>46.95</v>
      </c>
      <c r="F755">
        <v>12</v>
      </c>
      <c r="G755">
        <v>2</v>
      </c>
      <c r="H755">
        <v>10</v>
      </c>
      <c r="I755">
        <v>1.5</v>
      </c>
    </row>
    <row r="756" spans="1:9" x14ac:dyDescent="0.25">
      <c r="A756" s="18">
        <v>42395</v>
      </c>
      <c r="B756">
        <v>5.68</v>
      </c>
      <c r="C756">
        <v>4.069</v>
      </c>
      <c r="D756">
        <v>8</v>
      </c>
      <c r="E756">
        <v>30.3</v>
      </c>
      <c r="F756">
        <v>9</v>
      </c>
      <c r="G756">
        <v>0</v>
      </c>
      <c r="H756">
        <v>15</v>
      </c>
      <c r="I756">
        <v>0</v>
      </c>
    </row>
    <row r="757" spans="1:9" x14ac:dyDescent="0.25">
      <c r="A757" s="18">
        <v>42396</v>
      </c>
      <c r="B757">
        <v>4.34</v>
      </c>
      <c r="C757">
        <v>4.4290000000000003</v>
      </c>
      <c r="D757">
        <v>3.4</v>
      </c>
      <c r="E757">
        <v>30.062000000000001</v>
      </c>
      <c r="F757">
        <v>18</v>
      </c>
      <c r="G757">
        <v>5</v>
      </c>
      <c r="H757">
        <v>5</v>
      </c>
      <c r="I757">
        <v>2</v>
      </c>
    </row>
    <row r="758" spans="1:9" x14ac:dyDescent="0.25">
      <c r="A758" s="18">
        <v>42397</v>
      </c>
      <c r="B758">
        <v>7.33</v>
      </c>
      <c r="C758">
        <v>6.66</v>
      </c>
      <c r="D758">
        <v>4.4000000000000004</v>
      </c>
      <c r="E758">
        <v>33</v>
      </c>
      <c r="F758">
        <v>4</v>
      </c>
      <c r="G758">
        <v>0</v>
      </c>
      <c r="H758">
        <v>4</v>
      </c>
      <c r="I758">
        <v>3</v>
      </c>
    </row>
    <row r="759" spans="1:9" x14ac:dyDescent="0.25">
      <c r="A759" s="18">
        <v>42398</v>
      </c>
      <c r="B759">
        <v>5</v>
      </c>
      <c r="C759">
        <v>8.67</v>
      </c>
      <c r="D759">
        <v>8.6</v>
      </c>
      <c r="E759">
        <v>74.400000000000006</v>
      </c>
      <c r="F759">
        <v>3</v>
      </c>
      <c r="G759">
        <v>1</v>
      </c>
      <c r="H759">
        <v>17</v>
      </c>
      <c r="I759">
        <v>2</v>
      </c>
    </row>
    <row r="760" spans="1:9" x14ac:dyDescent="0.25">
      <c r="A760" s="18">
        <v>42399</v>
      </c>
      <c r="B760">
        <v>9</v>
      </c>
      <c r="C760">
        <v>4.4290000000000003</v>
      </c>
      <c r="D760">
        <v>5.3</v>
      </c>
      <c r="E760">
        <v>47.462000000000003</v>
      </c>
      <c r="F760">
        <v>3</v>
      </c>
      <c r="G760">
        <v>2</v>
      </c>
      <c r="H760">
        <v>5</v>
      </c>
      <c r="I760">
        <v>2</v>
      </c>
    </row>
    <row r="761" spans="1:9" x14ac:dyDescent="0.25">
      <c r="A761" s="18">
        <v>42400</v>
      </c>
      <c r="B761">
        <v>4.33</v>
      </c>
      <c r="C761">
        <v>5.1429999999999998</v>
      </c>
      <c r="D761">
        <v>3.8</v>
      </c>
      <c r="E761">
        <v>78.900000000000006</v>
      </c>
      <c r="F761">
        <v>3</v>
      </c>
      <c r="G761">
        <v>0</v>
      </c>
      <c r="H761">
        <v>6</v>
      </c>
      <c r="I761">
        <v>2</v>
      </c>
    </row>
    <row r="762" spans="1:9" x14ac:dyDescent="0.25">
      <c r="A762" s="18">
        <v>42401</v>
      </c>
      <c r="B762">
        <v>6.34</v>
      </c>
      <c r="C762">
        <v>5</v>
      </c>
      <c r="D762">
        <v>7.1</v>
      </c>
      <c r="E762">
        <v>18</v>
      </c>
      <c r="F762">
        <v>7</v>
      </c>
      <c r="G762">
        <v>0</v>
      </c>
      <c r="H762">
        <v>6</v>
      </c>
      <c r="I762">
        <v>1</v>
      </c>
    </row>
    <row r="763" spans="1:9" x14ac:dyDescent="0.25">
      <c r="A763" s="18">
        <v>42402</v>
      </c>
      <c r="B763">
        <v>14.33</v>
      </c>
      <c r="C763">
        <v>4.8780000000000001</v>
      </c>
      <c r="D763">
        <v>1.3</v>
      </c>
      <c r="E763">
        <v>39</v>
      </c>
      <c r="F763">
        <v>6</v>
      </c>
      <c r="G763">
        <v>0</v>
      </c>
      <c r="H763">
        <v>0</v>
      </c>
      <c r="I763">
        <v>1</v>
      </c>
    </row>
    <row r="764" spans="1:9" x14ac:dyDescent="0.25">
      <c r="A764" s="18">
        <v>42403</v>
      </c>
      <c r="B764">
        <v>8</v>
      </c>
      <c r="C764">
        <v>6.6929999999999996</v>
      </c>
      <c r="D764">
        <v>11.5</v>
      </c>
      <c r="E764">
        <v>39.061999999999998</v>
      </c>
      <c r="F764">
        <v>11</v>
      </c>
      <c r="G764">
        <v>5</v>
      </c>
      <c r="H764">
        <v>0</v>
      </c>
      <c r="I764">
        <v>0</v>
      </c>
    </row>
    <row r="765" spans="1:9" x14ac:dyDescent="0.25">
      <c r="A765" s="18">
        <v>42404</v>
      </c>
      <c r="B765">
        <v>8.34</v>
      </c>
      <c r="C765">
        <v>4</v>
      </c>
      <c r="D765">
        <v>4.2</v>
      </c>
      <c r="E765">
        <v>28.8</v>
      </c>
      <c r="F765">
        <v>5</v>
      </c>
      <c r="G765">
        <v>0</v>
      </c>
      <c r="H765">
        <v>4</v>
      </c>
      <c r="I765">
        <v>4</v>
      </c>
    </row>
    <row r="766" spans="1:9" x14ac:dyDescent="0.25">
      <c r="A766" s="18">
        <v>42405</v>
      </c>
      <c r="B766">
        <v>5.66</v>
      </c>
      <c r="C766">
        <v>2</v>
      </c>
      <c r="D766">
        <v>3</v>
      </c>
      <c r="E766">
        <v>51.6</v>
      </c>
      <c r="F766">
        <v>7</v>
      </c>
      <c r="G766">
        <v>0</v>
      </c>
      <c r="H766">
        <v>3</v>
      </c>
      <c r="I766">
        <v>1</v>
      </c>
    </row>
    <row r="767" spans="1:9" x14ac:dyDescent="0.25">
      <c r="A767" s="18">
        <v>42406</v>
      </c>
      <c r="B767">
        <v>5.33</v>
      </c>
      <c r="C767">
        <v>10.33</v>
      </c>
      <c r="D767">
        <v>3</v>
      </c>
      <c r="E767">
        <v>57.161999999999999</v>
      </c>
      <c r="F767">
        <v>1</v>
      </c>
      <c r="G767">
        <v>0</v>
      </c>
      <c r="H767">
        <v>11</v>
      </c>
      <c r="I767">
        <v>2</v>
      </c>
    </row>
    <row r="768" spans="1:9" x14ac:dyDescent="0.25">
      <c r="A768" s="18">
        <v>42407</v>
      </c>
      <c r="B768">
        <v>3.66</v>
      </c>
      <c r="C768">
        <v>6.056</v>
      </c>
      <c r="D768">
        <v>4.5</v>
      </c>
      <c r="E768">
        <v>88.2</v>
      </c>
      <c r="F768">
        <v>2</v>
      </c>
      <c r="G768">
        <v>0</v>
      </c>
      <c r="H768">
        <v>13</v>
      </c>
      <c r="I768">
        <v>1</v>
      </c>
    </row>
    <row r="769" spans="1:9" x14ac:dyDescent="0.25">
      <c r="A769" s="18">
        <v>42408</v>
      </c>
      <c r="B769">
        <v>6.33</v>
      </c>
      <c r="C769">
        <v>6.99</v>
      </c>
      <c r="D769">
        <v>5.5</v>
      </c>
      <c r="E769">
        <v>28.038</v>
      </c>
      <c r="F769">
        <v>5</v>
      </c>
      <c r="G769">
        <v>0</v>
      </c>
      <c r="H769">
        <v>23</v>
      </c>
      <c r="I769">
        <v>1</v>
      </c>
    </row>
    <row r="770" spans="1:9" x14ac:dyDescent="0.25">
      <c r="A770" s="18">
        <v>42409</v>
      </c>
      <c r="B770">
        <v>7</v>
      </c>
      <c r="C770">
        <v>3.33</v>
      </c>
      <c r="D770">
        <v>4.4000000000000004</v>
      </c>
      <c r="E770">
        <v>47.7</v>
      </c>
      <c r="F770">
        <v>16</v>
      </c>
      <c r="G770">
        <v>2</v>
      </c>
      <c r="H770">
        <v>1</v>
      </c>
      <c r="I770">
        <v>2</v>
      </c>
    </row>
    <row r="771" spans="1:9" x14ac:dyDescent="0.25">
      <c r="A771" s="18">
        <v>42410</v>
      </c>
      <c r="B771">
        <v>4.34</v>
      </c>
      <c r="C771">
        <v>4.7030000000000003</v>
      </c>
      <c r="D771">
        <v>7.2</v>
      </c>
      <c r="E771">
        <v>34.1</v>
      </c>
      <c r="F771">
        <v>29</v>
      </c>
      <c r="G771">
        <v>0</v>
      </c>
      <c r="H771">
        <v>4</v>
      </c>
      <c r="I771">
        <v>2</v>
      </c>
    </row>
    <row r="772" spans="1:9" x14ac:dyDescent="0.25">
      <c r="A772" s="18">
        <v>42411</v>
      </c>
      <c r="B772">
        <v>1.66</v>
      </c>
      <c r="C772">
        <v>4.1559999999999997</v>
      </c>
      <c r="D772">
        <v>2.7</v>
      </c>
      <c r="E772">
        <v>38.1</v>
      </c>
      <c r="F772">
        <v>10</v>
      </c>
      <c r="G772">
        <v>1</v>
      </c>
      <c r="H772">
        <v>13</v>
      </c>
      <c r="I772">
        <v>4</v>
      </c>
    </row>
    <row r="773" spans="1:9" x14ac:dyDescent="0.25">
      <c r="A773" s="18">
        <v>42412</v>
      </c>
      <c r="B773">
        <v>5.99</v>
      </c>
      <c r="C773">
        <v>6.4290000000000003</v>
      </c>
      <c r="D773">
        <v>8.5</v>
      </c>
      <c r="E773">
        <v>60.674999999999997</v>
      </c>
      <c r="F773">
        <v>4</v>
      </c>
      <c r="G773">
        <v>0</v>
      </c>
      <c r="H773">
        <v>20</v>
      </c>
      <c r="I773">
        <v>1</v>
      </c>
    </row>
    <row r="774" spans="1:9" x14ac:dyDescent="0.25">
      <c r="A774" s="18">
        <v>42413</v>
      </c>
      <c r="B774">
        <v>2.67</v>
      </c>
      <c r="C774">
        <v>3.67</v>
      </c>
      <c r="D774">
        <v>5</v>
      </c>
      <c r="E774">
        <v>42.4</v>
      </c>
      <c r="F774">
        <v>2</v>
      </c>
      <c r="G774">
        <v>0</v>
      </c>
      <c r="H774">
        <v>10</v>
      </c>
      <c r="I774">
        <v>2</v>
      </c>
    </row>
    <row r="775" spans="1:9" x14ac:dyDescent="0.25">
      <c r="A775" s="18">
        <v>42414</v>
      </c>
      <c r="B775">
        <v>5.84</v>
      </c>
      <c r="C775">
        <v>7.34</v>
      </c>
      <c r="D775">
        <v>3.8</v>
      </c>
      <c r="E775">
        <v>43.6</v>
      </c>
      <c r="F775">
        <v>5</v>
      </c>
      <c r="G775">
        <v>0</v>
      </c>
      <c r="H775">
        <v>7</v>
      </c>
      <c r="I775">
        <v>4</v>
      </c>
    </row>
    <row r="776" spans="1:9" x14ac:dyDescent="0.25">
      <c r="A776" s="18">
        <v>42415</v>
      </c>
      <c r="B776">
        <v>5.33</v>
      </c>
      <c r="C776">
        <v>5.33</v>
      </c>
      <c r="D776">
        <v>5.3</v>
      </c>
      <c r="E776">
        <v>52.2</v>
      </c>
      <c r="F776">
        <v>6</v>
      </c>
      <c r="G776">
        <v>0</v>
      </c>
      <c r="H776">
        <v>0</v>
      </c>
      <c r="I776">
        <v>0</v>
      </c>
    </row>
    <row r="777" spans="1:9" x14ac:dyDescent="0.25">
      <c r="A777" s="18">
        <v>42416</v>
      </c>
      <c r="B777">
        <v>7.33</v>
      </c>
      <c r="C777">
        <v>2.3199999999999998</v>
      </c>
      <c r="D777">
        <v>3</v>
      </c>
      <c r="E777">
        <v>29</v>
      </c>
      <c r="F777">
        <v>3</v>
      </c>
      <c r="G777">
        <v>2</v>
      </c>
      <c r="H777">
        <v>9</v>
      </c>
      <c r="I777">
        <v>3</v>
      </c>
    </row>
    <row r="778" spans="1:9" x14ac:dyDescent="0.25">
      <c r="A778" s="18">
        <v>42417</v>
      </c>
      <c r="B778">
        <v>3</v>
      </c>
      <c r="C778">
        <v>5</v>
      </c>
      <c r="D778">
        <v>4</v>
      </c>
      <c r="E778">
        <v>26.6</v>
      </c>
      <c r="F778">
        <v>12</v>
      </c>
      <c r="G778">
        <v>1</v>
      </c>
      <c r="H778">
        <v>1</v>
      </c>
      <c r="I778">
        <v>0</v>
      </c>
    </row>
    <row r="779" spans="1:9" x14ac:dyDescent="0.25">
      <c r="A779" s="18">
        <v>42418</v>
      </c>
      <c r="B779">
        <v>2.34</v>
      </c>
      <c r="C779">
        <v>1</v>
      </c>
      <c r="D779">
        <v>4.3</v>
      </c>
      <c r="E779">
        <v>43.85</v>
      </c>
      <c r="F779">
        <v>3</v>
      </c>
      <c r="G779">
        <v>0</v>
      </c>
      <c r="H779">
        <v>9</v>
      </c>
      <c r="I779">
        <v>1</v>
      </c>
    </row>
    <row r="780" spans="1:9" x14ac:dyDescent="0.25">
      <c r="A780" s="18">
        <v>42419</v>
      </c>
      <c r="B780">
        <v>4</v>
      </c>
      <c r="C780">
        <v>1.67</v>
      </c>
      <c r="D780">
        <v>4</v>
      </c>
      <c r="E780">
        <v>28.7</v>
      </c>
      <c r="F780">
        <v>18</v>
      </c>
      <c r="G780">
        <v>2</v>
      </c>
      <c r="H780">
        <v>26</v>
      </c>
      <c r="I780">
        <v>1</v>
      </c>
    </row>
    <row r="781" spans="1:9" x14ac:dyDescent="0.25">
      <c r="A781" s="18">
        <v>42420</v>
      </c>
      <c r="B781">
        <v>10.33</v>
      </c>
      <c r="C781">
        <v>4.1219999999999999</v>
      </c>
      <c r="D781">
        <v>4</v>
      </c>
      <c r="E781">
        <v>36.9</v>
      </c>
      <c r="F781">
        <v>5</v>
      </c>
      <c r="G781">
        <v>0</v>
      </c>
      <c r="H781">
        <v>8</v>
      </c>
      <c r="I781">
        <v>3</v>
      </c>
    </row>
    <row r="782" spans="1:9" x14ac:dyDescent="0.25">
      <c r="A782" s="18">
        <v>42421</v>
      </c>
      <c r="B782">
        <v>6.34</v>
      </c>
      <c r="C782">
        <v>4</v>
      </c>
      <c r="D782">
        <v>0</v>
      </c>
      <c r="E782">
        <v>55.7</v>
      </c>
      <c r="F782">
        <v>5</v>
      </c>
      <c r="G782">
        <v>2</v>
      </c>
      <c r="H782">
        <v>7</v>
      </c>
      <c r="I782">
        <v>4</v>
      </c>
    </row>
    <row r="783" spans="1:9" x14ac:dyDescent="0.25">
      <c r="A783" s="18">
        <v>42422</v>
      </c>
      <c r="B783">
        <v>3</v>
      </c>
      <c r="C783">
        <v>5.32</v>
      </c>
      <c r="D783">
        <v>3</v>
      </c>
      <c r="E783">
        <v>51.125</v>
      </c>
      <c r="F783">
        <v>10</v>
      </c>
      <c r="G783">
        <v>0</v>
      </c>
      <c r="H783">
        <v>12</v>
      </c>
      <c r="I783">
        <v>4</v>
      </c>
    </row>
    <row r="784" spans="1:9" x14ac:dyDescent="0.25">
      <c r="A784" s="18">
        <v>42423</v>
      </c>
      <c r="B784">
        <v>3</v>
      </c>
      <c r="C784">
        <v>2.33</v>
      </c>
      <c r="D784">
        <v>2.6</v>
      </c>
      <c r="E784">
        <v>41.3</v>
      </c>
      <c r="F784">
        <v>11</v>
      </c>
      <c r="G784">
        <v>0</v>
      </c>
      <c r="H784">
        <v>15</v>
      </c>
      <c r="I784">
        <v>3</v>
      </c>
    </row>
    <row r="785" spans="1:9" x14ac:dyDescent="0.25">
      <c r="A785" s="18">
        <v>42424</v>
      </c>
      <c r="B785">
        <v>7.66</v>
      </c>
      <c r="C785">
        <v>2.33</v>
      </c>
      <c r="D785">
        <v>2.1</v>
      </c>
      <c r="E785">
        <v>35</v>
      </c>
      <c r="F785">
        <v>6</v>
      </c>
      <c r="G785">
        <v>2</v>
      </c>
      <c r="H785">
        <v>5</v>
      </c>
      <c r="I785">
        <v>1</v>
      </c>
    </row>
    <row r="786" spans="1:9" x14ac:dyDescent="0.25">
      <c r="A786" s="18">
        <v>42425</v>
      </c>
      <c r="B786">
        <v>7.99</v>
      </c>
      <c r="C786">
        <v>3.99</v>
      </c>
      <c r="D786">
        <v>5</v>
      </c>
      <c r="E786">
        <v>41</v>
      </c>
      <c r="F786">
        <v>22</v>
      </c>
      <c r="G786">
        <v>1</v>
      </c>
      <c r="H786">
        <v>4</v>
      </c>
      <c r="I786">
        <v>3</v>
      </c>
    </row>
    <row r="787" spans="1:9" x14ac:dyDescent="0.25">
      <c r="A787" s="18">
        <v>42426</v>
      </c>
      <c r="B787">
        <v>5</v>
      </c>
      <c r="C787">
        <v>5.8479999999999999</v>
      </c>
      <c r="D787">
        <v>4.5</v>
      </c>
      <c r="E787">
        <v>28.55</v>
      </c>
      <c r="F787">
        <v>6</v>
      </c>
      <c r="G787">
        <v>2</v>
      </c>
      <c r="H787">
        <v>0</v>
      </c>
      <c r="I787">
        <v>1</v>
      </c>
    </row>
    <row r="788" spans="1:9" x14ac:dyDescent="0.25">
      <c r="A788" s="18">
        <v>42427</v>
      </c>
      <c r="B788">
        <v>8</v>
      </c>
      <c r="C788">
        <v>7</v>
      </c>
      <c r="D788">
        <v>6.6</v>
      </c>
      <c r="E788">
        <v>25.8</v>
      </c>
      <c r="F788">
        <v>3</v>
      </c>
      <c r="G788">
        <v>0</v>
      </c>
      <c r="H788">
        <v>5</v>
      </c>
      <c r="I788">
        <v>2</v>
      </c>
    </row>
    <row r="789" spans="1:9" x14ac:dyDescent="0.25">
      <c r="A789" s="18">
        <v>42428</v>
      </c>
      <c r="B789">
        <v>8</v>
      </c>
      <c r="C789">
        <v>4.0330000000000004</v>
      </c>
      <c r="D789">
        <v>10.1</v>
      </c>
      <c r="E789">
        <v>66.5</v>
      </c>
      <c r="F789">
        <v>6</v>
      </c>
      <c r="G789">
        <v>0</v>
      </c>
      <c r="H789">
        <v>26</v>
      </c>
      <c r="I789">
        <v>5</v>
      </c>
    </row>
    <row r="790" spans="1:9" x14ac:dyDescent="0.25">
      <c r="A790" s="18">
        <v>42429</v>
      </c>
      <c r="B790">
        <v>7</v>
      </c>
      <c r="C790">
        <v>7.66</v>
      </c>
      <c r="D790">
        <v>4</v>
      </c>
      <c r="E790">
        <v>46.2</v>
      </c>
      <c r="F790">
        <v>13</v>
      </c>
      <c r="G790">
        <v>0</v>
      </c>
      <c r="H790">
        <v>3</v>
      </c>
      <c r="I790">
        <v>1</v>
      </c>
    </row>
    <row r="791" spans="1:9" x14ac:dyDescent="0.25">
      <c r="A791" s="18">
        <v>42430</v>
      </c>
      <c r="B791">
        <v>10</v>
      </c>
      <c r="C791">
        <v>4</v>
      </c>
      <c r="D791">
        <v>2.2000000000000002</v>
      </c>
      <c r="E791">
        <v>31</v>
      </c>
      <c r="F791">
        <v>11</v>
      </c>
      <c r="G791">
        <v>2</v>
      </c>
      <c r="H791">
        <v>0</v>
      </c>
      <c r="I791">
        <v>2</v>
      </c>
    </row>
    <row r="792" spans="1:9" x14ac:dyDescent="0.25">
      <c r="A792" s="18">
        <v>42431</v>
      </c>
      <c r="B792">
        <v>3.33</v>
      </c>
      <c r="C792">
        <v>10.396000000000001</v>
      </c>
      <c r="D792">
        <v>5.3</v>
      </c>
      <c r="E792">
        <v>21.3</v>
      </c>
      <c r="F792">
        <v>15</v>
      </c>
      <c r="G792">
        <v>2</v>
      </c>
      <c r="H792">
        <v>1</v>
      </c>
      <c r="I792">
        <v>0</v>
      </c>
    </row>
    <row r="793" spans="1:9" x14ac:dyDescent="0.25">
      <c r="A793" s="18">
        <v>42432</v>
      </c>
      <c r="B793">
        <v>2.83</v>
      </c>
      <c r="C793">
        <v>2</v>
      </c>
      <c r="D793">
        <v>5</v>
      </c>
      <c r="E793">
        <v>55.8</v>
      </c>
      <c r="F793">
        <v>2</v>
      </c>
      <c r="G793">
        <v>0</v>
      </c>
      <c r="H793">
        <v>9</v>
      </c>
      <c r="I793">
        <v>4</v>
      </c>
    </row>
    <row r="794" spans="1:9" x14ac:dyDescent="0.25">
      <c r="A794" s="18">
        <v>42433</v>
      </c>
      <c r="B794">
        <v>5</v>
      </c>
      <c r="C794">
        <v>0.99</v>
      </c>
      <c r="D794">
        <v>4.4000000000000004</v>
      </c>
      <c r="E794">
        <v>26.6</v>
      </c>
      <c r="F794">
        <v>3</v>
      </c>
      <c r="G794">
        <v>0</v>
      </c>
      <c r="H794">
        <v>0</v>
      </c>
      <c r="I794">
        <v>0</v>
      </c>
    </row>
    <row r="795" spans="1:9" x14ac:dyDescent="0.25">
      <c r="A795" s="18">
        <v>42434</v>
      </c>
      <c r="B795">
        <v>5</v>
      </c>
      <c r="C795">
        <v>4.891</v>
      </c>
      <c r="D795">
        <v>8</v>
      </c>
      <c r="E795">
        <v>38</v>
      </c>
      <c r="F795">
        <v>9</v>
      </c>
      <c r="G795">
        <v>0</v>
      </c>
      <c r="H795">
        <v>10</v>
      </c>
      <c r="I795">
        <v>5</v>
      </c>
    </row>
    <row r="796" spans="1:9" x14ac:dyDescent="0.25">
      <c r="A796" s="18">
        <v>42435</v>
      </c>
      <c r="B796">
        <v>5</v>
      </c>
      <c r="C796">
        <v>8.1449999999999996</v>
      </c>
      <c r="D796">
        <v>4.9000000000000004</v>
      </c>
      <c r="E796">
        <v>79.900000000000006</v>
      </c>
      <c r="F796">
        <v>2</v>
      </c>
      <c r="G796">
        <v>0</v>
      </c>
      <c r="H796">
        <v>5</v>
      </c>
      <c r="I796">
        <v>7</v>
      </c>
    </row>
    <row r="797" spans="1:9" x14ac:dyDescent="0.25">
      <c r="A797" s="18">
        <v>42436</v>
      </c>
      <c r="B797">
        <v>5.33</v>
      </c>
      <c r="C797">
        <v>7.34</v>
      </c>
      <c r="D797">
        <v>4</v>
      </c>
      <c r="E797">
        <v>43.5</v>
      </c>
      <c r="F797">
        <v>3</v>
      </c>
      <c r="G797">
        <v>1</v>
      </c>
      <c r="H797">
        <v>6</v>
      </c>
      <c r="I797">
        <v>1</v>
      </c>
    </row>
    <row r="798" spans="1:9" x14ac:dyDescent="0.25">
      <c r="A798" s="18">
        <v>42437</v>
      </c>
      <c r="B798">
        <v>4</v>
      </c>
      <c r="C798">
        <v>6.66</v>
      </c>
      <c r="D798">
        <v>3</v>
      </c>
      <c r="E798">
        <v>44</v>
      </c>
      <c r="F798">
        <v>7</v>
      </c>
      <c r="G798">
        <v>0</v>
      </c>
      <c r="H798">
        <v>3</v>
      </c>
      <c r="I798">
        <v>3</v>
      </c>
    </row>
    <row r="799" spans="1:9" x14ac:dyDescent="0.25">
      <c r="A799" s="18">
        <v>42438</v>
      </c>
      <c r="B799">
        <v>4.34</v>
      </c>
      <c r="C799">
        <v>5.67</v>
      </c>
      <c r="D799">
        <v>7</v>
      </c>
      <c r="E799">
        <v>21.8</v>
      </c>
      <c r="F799">
        <v>7</v>
      </c>
      <c r="G799">
        <v>1</v>
      </c>
      <c r="H799">
        <v>6</v>
      </c>
      <c r="I799">
        <v>4</v>
      </c>
    </row>
    <row r="800" spans="1:9" x14ac:dyDescent="0.25">
      <c r="A800" s="18">
        <v>42439</v>
      </c>
      <c r="B800">
        <v>6.33</v>
      </c>
      <c r="C800">
        <v>10.33</v>
      </c>
      <c r="D800">
        <v>2</v>
      </c>
      <c r="E800">
        <v>23.4</v>
      </c>
      <c r="F800">
        <v>8</v>
      </c>
      <c r="G800">
        <v>0</v>
      </c>
      <c r="H800">
        <v>2</v>
      </c>
      <c r="I800">
        <v>2</v>
      </c>
    </row>
    <row r="801" spans="1:9" x14ac:dyDescent="0.25">
      <c r="A801" s="18">
        <v>42440</v>
      </c>
      <c r="B801">
        <v>3.33</v>
      </c>
      <c r="C801">
        <v>4.3630000000000004</v>
      </c>
      <c r="D801">
        <v>6.2</v>
      </c>
      <c r="E801">
        <v>22</v>
      </c>
      <c r="F801">
        <v>8</v>
      </c>
      <c r="G801">
        <v>0</v>
      </c>
      <c r="H801">
        <v>18</v>
      </c>
      <c r="I801">
        <v>1</v>
      </c>
    </row>
    <row r="802" spans="1:9" x14ac:dyDescent="0.25">
      <c r="A802" s="18">
        <v>42441</v>
      </c>
      <c r="B802">
        <v>3</v>
      </c>
      <c r="C802">
        <v>6.3730000000000002</v>
      </c>
      <c r="D802">
        <v>1.4</v>
      </c>
      <c r="E802">
        <v>41.8</v>
      </c>
      <c r="F802">
        <v>4</v>
      </c>
      <c r="G802">
        <v>0</v>
      </c>
      <c r="H802">
        <v>23</v>
      </c>
      <c r="I802">
        <v>1</v>
      </c>
    </row>
    <row r="803" spans="1:9" x14ac:dyDescent="0.25">
      <c r="A803" s="18">
        <v>42442</v>
      </c>
      <c r="B803">
        <v>2.5</v>
      </c>
      <c r="C803">
        <v>4.1340000000000003</v>
      </c>
      <c r="D803">
        <v>1.5</v>
      </c>
      <c r="E803">
        <v>59.2</v>
      </c>
      <c r="F803">
        <v>4</v>
      </c>
      <c r="G803">
        <v>0</v>
      </c>
      <c r="H803">
        <v>4</v>
      </c>
      <c r="I803">
        <v>0.34</v>
      </c>
    </row>
    <row r="804" spans="1:9" x14ac:dyDescent="0.25">
      <c r="A804" s="18">
        <v>42443</v>
      </c>
      <c r="B804">
        <v>4.33</v>
      </c>
      <c r="C804">
        <v>3.32</v>
      </c>
      <c r="D804">
        <v>10</v>
      </c>
      <c r="E804">
        <v>35.9</v>
      </c>
      <c r="F804">
        <v>12</v>
      </c>
      <c r="G804">
        <v>0</v>
      </c>
      <c r="H804">
        <v>23</v>
      </c>
      <c r="I804">
        <v>1</v>
      </c>
    </row>
    <row r="805" spans="1:9" x14ac:dyDescent="0.25">
      <c r="A805" s="18">
        <v>42444</v>
      </c>
      <c r="B805">
        <v>5.33</v>
      </c>
      <c r="C805">
        <v>3.32</v>
      </c>
      <c r="D805">
        <v>2</v>
      </c>
      <c r="E805">
        <v>24</v>
      </c>
      <c r="F805">
        <v>7</v>
      </c>
      <c r="G805">
        <v>0</v>
      </c>
      <c r="H805">
        <v>18</v>
      </c>
      <c r="I805">
        <v>3</v>
      </c>
    </row>
    <row r="806" spans="1:9" x14ac:dyDescent="0.25">
      <c r="A806" s="18">
        <v>42445</v>
      </c>
      <c r="B806">
        <v>5.33</v>
      </c>
      <c r="C806">
        <v>13.34</v>
      </c>
      <c r="D806">
        <v>5.7</v>
      </c>
      <c r="E806">
        <v>37.4</v>
      </c>
      <c r="F806">
        <v>16</v>
      </c>
      <c r="G806">
        <v>0</v>
      </c>
      <c r="H806">
        <v>4</v>
      </c>
      <c r="I806">
        <v>4</v>
      </c>
    </row>
    <row r="807" spans="1:9" x14ac:dyDescent="0.25">
      <c r="A807" s="18">
        <v>42446</v>
      </c>
      <c r="B807">
        <v>5.66</v>
      </c>
      <c r="C807">
        <v>5.3959999999999999</v>
      </c>
      <c r="D807">
        <v>5</v>
      </c>
      <c r="E807">
        <v>60.2</v>
      </c>
      <c r="F807">
        <v>10</v>
      </c>
      <c r="G807">
        <v>0</v>
      </c>
      <c r="H807">
        <v>8</v>
      </c>
      <c r="I807">
        <v>5</v>
      </c>
    </row>
    <row r="808" spans="1:9" x14ac:dyDescent="0.25">
      <c r="A808" s="18">
        <v>42447</v>
      </c>
      <c r="B808">
        <v>3.34</v>
      </c>
      <c r="C808">
        <v>5.3529999999999998</v>
      </c>
      <c r="D808">
        <v>5.2</v>
      </c>
      <c r="E808">
        <v>25.462</v>
      </c>
      <c r="F808">
        <v>15</v>
      </c>
      <c r="G808">
        <v>2</v>
      </c>
      <c r="H808">
        <v>8</v>
      </c>
      <c r="I808">
        <v>3</v>
      </c>
    </row>
    <row r="809" spans="1:9" x14ac:dyDescent="0.25">
      <c r="A809" s="18">
        <v>42448</v>
      </c>
      <c r="B809">
        <v>10.66</v>
      </c>
      <c r="C809">
        <v>8.33</v>
      </c>
      <c r="D809">
        <v>2.8</v>
      </c>
      <c r="E809">
        <v>19.5</v>
      </c>
      <c r="F809">
        <v>6</v>
      </c>
      <c r="G809">
        <v>1</v>
      </c>
      <c r="H809">
        <v>5</v>
      </c>
      <c r="I809">
        <v>5</v>
      </c>
    </row>
    <row r="810" spans="1:9" x14ac:dyDescent="0.25">
      <c r="A810" s="18">
        <v>42449</v>
      </c>
      <c r="B810">
        <v>7.99</v>
      </c>
      <c r="C810">
        <v>9.6929999999999996</v>
      </c>
      <c r="D810">
        <v>2.2000000000000002</v>
      </c>
      <c r="E810">
        <v>42.2</v>
      </c>
      <c r="F810">
        <v>1</v>
      </c>
      <c r="G810">
        <v>0</v>
      </c>
      <c r="H810">
        <v>15</v>
      </c>
      <c r="I810">
        <v>5</v>
      </c>
    </row>
    <row r="811" spans="1:9" x14ac:dyDescent="0.25">
      <c r="A811" s="18">
        <v>42450</v>
      </c>
      <c r="B811">
        <v>5</v>
      </c>
      <c r="C811">
        <v>8.0559999999999992</v>
      </c>
      <c r="D811">
        <v>6</v>
      </c>
      <c r="E811">
        <v>45.7</v>
      </c>
      <c r="F811">
        <v>11</v>
      </c>
      <c r="G811">
        <v>0</v>
      </c>
      <c r="H811">
        <v>36</v>
      </c>
      <c r="I811">
        <v>7</v>
      </c>
    </row>
    <row r="812" spans="1:9" x14ac:dyDescent="0.25">
      <c r="A812" s="18">
        <v>42451</v>
      </c>
      <c r="B812">
        <v>2.33</v>
      </c>
      <c r="C812">
        <v>0</v>
      </c>
      <c r="D812">
        <v>5</v>
      </c>
      <c r="E812">
        <v>42.188000000000002</v>
      </c>
      <c r="F812">
        <v>12</v>
      </c>
      <c r="G812">
        <v>2</v>
      </c>
      <c r="H812">
        <v>4</v>
      </c>
      <c r="I812">
        <v>2</v>
      </c>
    </row>
    <row r="813" spans="1:9" x14ac:dyDescent="0.25">
      <c r="A813" s="18">
        <v>42452</v>
      </c>
      <c r="B813">
        <v>4</v>
      </c>
      <c r="C813">
        <v>3</v>
      </c>
      <c r="D813">
        <v>6</v>
      </c>
      <c r="E813">
        <v>24.25</v>
      </c>
      <c r="F813">
        <v>22</v>
      </c>
      <c r="G813">
        <v>1</v>
      </c>
      <c r="H813">
        <v>0</v>
      </c>
      <c r="I813">
        <v>3</v>
      </c>
    </row>
    <row r="814" spans="1:9" x14ac:dyDescent="0.25">
      <c r="A814" s="18">
        <v>42453</v>
      </c>
      <c r="B814">
        <v>6.84</v>
      </c>
      <c r="C814">
        <v>2</v>
      </c>
      <c r="D814">
        <v>3</v>
      </c>
      <c r="E814">
        <v>32</v>
      </c>
      <c r="F814">
        <v>4</v>
      </c>
      <c r="G814">
        <v>0</v>
      </c>
      <c r="H814">
        <v>8</v>
      </c>
      <c r="I814">
        <v>2</v>
      </c>
    </row>
    <row r="815" spans="1:9" x14ac:dyDescent="0.25">
      <c r="A815" s="18">
        <v>42454</v>
      </c>
      <c r="B815">
        <v>7</v>
      </c>
      <c r="C815">
        <v>7.35</v>
      </c>
      <c r="D815">
        <v>4.2</v>
      </c>
      <c r="E815">
        <v>42.8</v>
      </c>
      <c r="F815">
        <v>8</v>
      </c>
      <c r="G815">
        <v>0</v>
      </c>
      <c r="H815">
        <v>3</v>
      </c>
      <c r="I815">
        <v>3</v>
      </c>
    </row>
    <row r="816" spans="1:9" x14ac:dyDescent="0.25">
      <c r="A816" s="18">
        <v>42455</v>
      </c>
      <c r="B816">
        <v>2.5</v>
      </c>
      <c r="C816">
        <v>0.66</v>
      </c>
      <c r="D816">
        <v>7.5</v>
      </c>
      <c r="E816">
        <v>33.25</v>
      </c>
      <c r="F816">
        <v>4</v>
      </c>
      <c r="G816">
        <v>0</v>
      </c>
      <c r="H816">
        <v>0</v>
      </c>
      <c r="I816">
        <v>5</v>
      </c>
    </row>
    <row r="817" spans="1:9" x14ac:dyDescent="0.25">
      <c r="A817" s="18">
        <v>42456</v>
      </c>
      <c r="B817">
        <v>7.83</v>
      </c>
      <c r="C817">
        <v>5.4489999999999998</v>
      </c>
      <c r="D817">
        <v>13.7</v>
      </c>
      <c r="E817">
        <v>63.3</v>
      </c>
      <c r="F817">
        <v>11</v>
      </c>
      <c r="G817">
        <v>1</v>
      </c>
      <c r="H817">
        <v>1</v>
      </c>
      <c r="I817">
        <v>4</v>
      </c>
    </row>
    <row r="818" spans="1:9" x14ac:dyDescent="0.25">
      <c r="A818" s="18">
        <v>42457</v>
      </c>
      <c r="B818">
        <v>3.34</v>
      </c>
      <c r="C818">
        <v>2.34</v>
      </c>
      <c r="D818">
        <v>1.7</v>
      </c>
      <c r="E818">
        <v>24.6</v>
      </c>
      <c r="F818">
        <v>20</v>
      </c>
      <c r="G818">
        <v>0</v>
      </c>
      <c r="H818">
        <v>4</v>
      </c>
      <c r="I818">
        <v>4.5</v>
      </c>
    </row>
    <row r="819" spans="1:9" x14ac:dyDescent="0.25">
      <c r="A819" s="18">
        <v>42458</v>
      </c>
      <c r="B819">
        <v>5.68</v>
      </c>
      <c r="C819">
        <v>1.33</v>
      </c>
      <c r="D819">
        <v>3.2</v>
      </c>
      <c r="E819">
        <v>36.200000000000003</v>
      </c>
      <c r="F819">
        <v>4</v>
      </c>
      <c r="G819">
        <v>0</v>
      </c>
      <c r="H819">
        <v>12</v>
      </c>
      <c r="I819">
        <v>1</v>
      </c>
    </row>
    <row r="820" spans="1:9" x14ac:dyDescent="0.25">
      <c r="A820" s="18">
        <v>42459</v>
      </c>
      <c r="B820">
        <v>7.16</v>
      </c>
      <c r="C820">
        <v>2.68</v>
      </c>
      <c r="D820">
        <v>7.4</v>
      </c>
      <c r="E820">
        <v>22.2</v>
      </c>
      <c r="F820">
        <v>3</v>
      </c>
      <c r="G820">
        <v>0</v>
      </c>
      <c r="H820">
        <v>12</v>
      </c>
      <c r="I820">
        <v>5</v>
      </c>
    </row>
    <row r="821" spans="1:9" x14ac:dyDescent="0.25">
      <c r="A821" s="18">
        <v>42460</v>
      </c>
      <c r="B821">
        <v>2.33</v>
      </c>
      <c r="C821">
        <v>8.68</v>
      </c>
      <c r="D821">
        <v>2.9</v>
      </c>
      <c r="E821">
        <v>31.25</v>
      </c>
      <c r="F821">
        <v>1</v>
      </c>
      <c r="G821">
        <v>0</v>
      </c>
      <c r="H821">
        <v>5</v>
      </c>
      <c r="I821">
        <v>5</v>
      </c>
    </row>
    <row r="822" spans="1:9" x14ac:dyDescent="0.25">
      <c r="A822" s="18">
        <v>42461</v>
      </c>
      <c r="B822">
        <v>6.33</v>
      </c>
      <c r="C822">
        <v>3.01</v>
      </c>
      <c r="D822">
        <v>2.7</v>
      </c>
      <c r="E822">
        <v>50.4</v>
      </c>
      <c r="F822">
        <v>4</v>
      </c>
      <c r="G822">
        <v>0</v>
      </c>
      <c r="H822">
        <v>16</v>
      </c>
      <c r="I822">
        <v>10.5</v>
      </c>
    </row>
    <row r="823" spans="1:9" x14ac:dyDescent="0.25">
      <c r="A823" s="18">
        <v>42462</v>
      </c>
      <c r="B823">
        <v>3.67</v>
      </c>
      <c r="C823">
        <v>2</v>
      </c>
      <c r="D823">
        <v>7</v>
      </c>
      <c r="E823">
        <v>32.299999999999997</v>
      </c>
      <c r="F823">
        <v>4</v>
      </c>
      <c r="G823">
        <v>0</v>
      </c>
      <c r="H823">
        <v>19</v>
      </c>
      <c r="I823">
        <v>7.4</v>
      </c>
    </row>
    <row r="824" spans="1:9" x14ac:dyDescent="0.25">
      <c r="A824" s="18">
        <v>42463</v>
      </c>
      <c r="B824">
        <v>9.67</v>
      </c>
      <c r="C824">
        <v>7.3959999999999999</v>
      </c>
      <c r="D824">
        <v>5.3</v>
      </c>
      <c r="E824">
        <v>73.5</v>
      </c>
      <c r="F824">
        <v>5</v>
      </c>
      <c r="G824">
        <v>0</v>
      </c>
      <c r="H824">
        <v>6</v>
      </c>
      <c r="I824">
        <v>11</v>
      </c>
    </row>
    <row r="825" spans="1:9" x14ac:dyDescent="0.25">
      <c r="A825" s="18">
        <v>42464</v>
      </c>
      <c r="B825">
        <v>7</v>
      </c>
      <c r="C825">
        <v>5.2309999999999999</v>
      </c>
      <c r="D825">
        <v>5</v>
      </c>
      <c r="E825">
        <v>21.6</v>
      </c>
      <c r="F825">
        <v>3</v>
      </c>
      <c r="G825">
        <v>1</v>
      </c>
      <c r="H825">
        <v>11</v>
      </c>
      <c r="I825">
        <v>2</v>
      </c>
    </row>
    <row r="826" spans="1:9" x14ac:dyDescent="0.25">
      <c r="A826" s="18">
        <v>42465</v>
      </c>
      <c r="B826">
        <v>6</v>
      </c>
      <c r="C826">
        <v>5.33</v>
      </c>
      <c r="D826">
        <v>4</v>
      </c>
      <c r="E826">
        <v>40.299999999999997</v>
      </c>
      <c r="F826">
        <v>5</v>
      </c>
      <c r="G826">
        <v>1</v>
      </c>
      <c r="H826">
        <v>11</v>
      </c>
      <c r="I826">
        <v>12</v>
      </c>
    </row>
    <row r="827" spans="1:9" x14ac:dyDescent="0.25">
      <c r="A827" s="18">
        <v>42466</v>
      </c>
      <c r="B827">
        <v>6.66</v>
      </c>
      <c r="C827">
        <v>5.3630000000000004</v>
      </c>
      <c r="D827">
        <v>2</v>
      </c>
      <c r="E827">
        <v>15.25</v>
      </c>
      <c r="F827">
        <v>7</v>
      </c>
      <c r="G827">
        <v>0</v>
      </c>
      <c r="H827">
        <v>6</v>
      </c>
      <c r="I827">
        <v>3</v>
      </c>
    </row>
    <row r="828" spans="1:9" x14ac:dyDescent="0.25">
      <c r="A828" s="18">
        <v>42467</v>
      </c>
      <c r="B828">
        <v>6.33</v>
      </c>
      <c r="C828">
        <v>5.98</v>
      </c>
      <c r="D828">
        <v>4</v>
      </c>
      <c r="E828">
        <v>21</v>
      </c>
      <c r="F828">
        <v>7</v>
      </c>
      <c r="G828">
        <v>2</v>
      </c>
      <c r="H828">
        <v>4</v>
      </c>
      <c r="I828">
        <v>8.1999999999999993</v>
      </c>
    </row>
    <row r="829" spans="1:9" x14ac:dyDescent="0.25">
      <c r="A829" s="18">
        <v>42468</v>
      </c>
      <c r="B829">
        <v>7.67</v>
      </c>
      <c r="C829">
        <v>3.66</v>
      </c>
      <c r="D829">
        <v>5</v>
      </c>
      <c r="E829">
        <v>42.3</v>
      </c>
      <c r="F829">
        <v>2</v>
      </c>
      <c r="G829">
        <v>1</v>
      </c>
      <c r="H829">
        <v>3</v>
      </c>
      <c r="I829">
        <v>4.4000000000000004</v>
      </c>
    </row>
    <row r="830" spans="1:9" x14ac:dyDescent="0.25">
      <c r="A830" s="18">
        <v>42469</v>
      </c>
      <c r="B830">
        <v>9</v>
      </c>
      <c r="C830">
        <v>9.01</v>
      </c>
      <c r="D830">
        <v>3.1</v>
      </c>
      <c r="E830">
        <v>38.799999999999997</v>
      </c>
      <c r="F830">
        <v>7</v>
      </c>
      <c r="G830">
        <v>0</v>
      </c>
      <c r="H830">
        <v>14</v>
      </c>
      <c r="I830">
        <v>3</v>
      </c>
    </row>
    <row r="831" spans="1:9" x14ac:dyDescent="0.25">
      <c r="A831" s="18">
        <v>42470</v>
      </c>
      <c r="B831">
        <v>5</v>
      </c>
      <c r="C831">
        <v>6.67</v>
      </c>
      <c r="D831">
        <v>5.15</v>
      </c>
      <c r="E831">
        <v>21.4</v>
      </c>
      <c r="F831">
        <v>4</v>
      </c>
      <c r="G831">
        <v>1</v>
      </c>
      <c r="H831">
        <v>11</v>
      </c>
      <c r="I831">
        <v>8</v>
      </c>
    </row>
    <row r="832" spans="1:9" x14ac:dyDescent="0.25">
      <c r="A832" s="18">
        <v>42471</v>
      </c>
      <c r="B832">
        <v>0.33</v>
      </c>
      <c r="C832">
        <v>4.99</v>
      </c>
      <c r="D832">
        <v>3</v>
      </c>
      <c r="E832">
        <v>26</v>
      </c>
      <c r="F832">
        <v>11</v>
      </c>
      <c r="G832">
        <v>2</v>
      </c>
      <c r="H832">
        <v>17</v>
      </c>
      <c r="I832">
        <v>6</v>
      </c>
    </row>
    <row r="833" spans="1:9" x14ac:dyDescent="0.25">
      <c r="A833" s="18">
        <v>42472</v>
      </c>
      <c r="B833">
        <v>4.34</v>
      </c>
      <c r="C833">
        <v>4.6500000000000004</v>
      </c>
      <c r="D833">
        <v>6</v>
      </c>
      <c r="E833">
        <v>41.6</v>
      </c>
      <c r="F833">
        <v>19</v>
      </c>
      <c r="G833">
        <v>1</v>
      </c>
      <c r="H833">
        <v>2</v>
      </c>
      <c r="I833">
        <v>5</v>
      </c>
    </row>
    <row r="834" spans="1:9" x14ac:dyDescent="0.25">
      <c r="A834" s="18">
        <v>42473</v>
      </c>
      <c r="B834">
        <v>6.33</v>
      </c>
      <c r="C834">
        <v>3.0659999999999998</v>
      </c>
      <c r="D834">
        <v>3</v>
      </c>
      <c r="E834">
        <v>34</v>
      </c>
      <c r="F834">
        <v>22.333333329999999</v>
      </c>
      <c r="G834">
        <v>0</v>
      </c>
      <c r="H834">
        <v>2</v>
      </c>
      <c r="I834">
        <v>3</v>
      </c>
    </row>
    <row r="835" spans="1:9" x14ac:dyDescent="0.25">
      <c r="A835" s="18">
        <v>42474</v>
      </c>
      <c r="B835">
        <v>2.66</v>
      </c>
      <c r="C835">
        <v>2.3199999999999998</v>
      </c>
      <c r="D835">
        <v>8.5</v>
      </c>
      <c r="E835">
        <v>44.225000000000001</v>
      </c>
      <c r="F835">
        <v>9</v>
      </c>
      <c r="G835">
        <v>0</v>
      </c>
      <c r="H835">
        <v>4</v>
      </c>
      <c r="I835">
        <v>6</v>
      </c>
    </row>
    <row r="836" spans="1:9" x14ac:dyDescent="0.25">
      <c r="A836" s="18">
        <v>42475</v>
      </c>
      <c r="B836">
        <v>4.33</v>
      </c>
      <c r="C836">
        <v>3.056</v>
      </c>
      <c r="D836">
        <v>2.7</v>
      </c>
      <c r="E836">
        <v>23.6</v>
      </c>
      <c r="F836">
        <v>6</v>
      </c>
      <c r="G836">
        <v>0</v>
      </c>
      <c r="H836">
        <v>10</v>
      </c>
      <c r="I836">
        <v>4.2</v>
      </c>
    </row>
    <row r="837" spans="1:9" x14ac:dyDescent="0.25">
      <c r="A837" s="18">
        <v>42476</v>
      </c>
      <c r="B837">
        <v>5.34</v>
      </c>
      <c r="C837">
        <v>6.66</v>
      </c>
      <c r="D837">
        <v>5.3</v>
      </c>
      <c r="E837">
        <v>33</v>
      </c>
      <c r="F837">
        <v>11</v>
      </c>
      <c r="G837">
        <v>0</v>
      </c>
      <c r="H837">
        <v>8</v>
      </c>
      <c r="I837">
        <v>8.5</v>
      </c>
    </row>
    <row r="838" spans="1:9" x14ac:dyDescent="0.25">
      <c r="A838" s="18">
        <v>42477</v>
      </c>
      <c r="B838">
        <v>4.33</v>
      </c>
      <c r="C838">
        <v>8.1750000000000007</v>
      </c>
      <c r="D838">
        <v>3</v>
      </c>
      <c r="E838">
        <v>52.8</v>
      </c>
      <c r="F838">
        <v>2</v>
      </c>
      <c r="G838">
        <v>0</v>
      </c>
      <c r="H838">
        <v>7</v>
      </c>
      <c r="I838">
        <v>7.2</v>
      </c>
    </row>
    <row r="839" spans="1:9" x14ac:dyDescent="0.25">
      <c r="A839" s="18">
        <v>42478</v>
      </c>
      <c r="B839">
        <v>3.66</v>
      </c>
      <c r="C839">
        <v>2</v>
      </c>
      <c r="D839">
        <v>5</v>
      </c>
      <c r="E839">
        <v>22.1</v>
      </c>
      <c r="F839">
        <v>15</v>
      </c>
      <c r="G839">
        <v>3</v>
      </c>
      <c r="H839">
        <v>7</v>
      </c>
      <c r="I839">
        <v>7</v>
      </c>
    </row>
    <row r="840" spans="1:9" x14ac:dyDescent="0.25">
      <c r="A840" s="18">
        <v>42479</v>
      </c>
      <c r="B840">
        <v>3</v>
      </c>
      <c r="C840">
        <v>1.34</v>
      </c>
      <c r="D840">
        <v>8.3000000000000007</v>
      </c>
      <c r="E840">
        <v>24.3</v>
      </c>
      <c r="F840">
        <v>7</v>
      </c>
      <c r="G840">
        <v>0</v>
      </c>
      <c r="H840">
        <v>6</v>
      </c>
      <c r="I840">
        <v>4</v>
      </c>
    </row>
    <row r="841" spans="1:9" x14ac:dyDescent="0.25">
      <c r="A841" s="18">
        <v>42480</v>
      </c>
      <c r="B841">
        <v>2.66</v>
      </c>
      <c r="C841">
        <v>3.33</v>
      </c>
      <c r="D841">
        <v>2.4</v>
      </c>
      <c r="E841">
        <v>17.100000000000001</v>
      </c>
      <c r="F841">
        <v>11</v>
      </c>
      <c r="G841">
        <v>5</v>
      </c>
      <c r="H841">
        <v>15</v>
      </c>
      <c r="I841">
        <v>3</v>
      </c>
    </row>
    <row r="842" spans="1:9" x14ac:dyDescent="0.25">
      <c r="A842" s="18">
        <v>42481</v>
      </c>
      <c r="B842">
        <v>3</v>
      </c>
      <c r="C842">
        <v>3.464</v>
      </c>
      <c r="D842">
        <v>3</v>
      </c>
      <c r="E842">
        <v>21.6</v>
      </c>
      <c r="F842">
        <v>6</v>
      </c>
      <c r="G842">
        <v>0</v>
      </c>
      <c r="H842">
        <v>0</v>
      </c>
      <c r="I842">
        <v>2.2999999999999998</v>
      </c>
    </row>
    <row r="843" spans="1:9" x14ac:dyDescent="0.25">
      <c r="A843" s="18">
        <v>42482</v>
      </c>
      <c r="B843">
        <v>6</v>
      </c>
      <c r="C843">
        <v>5.67</v>
      </c>
      <c r="D843">
        <v>4</v>
      </c>
      <c r="E843">
        <v>21.9</v>
      </c>
      <c r="F843">
        <v>4</v>
      </c>
      <c r="G843">
        <v>0</v>
      </c>
      <c r="H843">
        <v>6</v>
      </c>
      <c r="I843">
        <v>1</v>
      </c>
    </row>
    <row r="844" spans="1:9" x14ac:dyDescent="0.25">
      <c r="A844" s="18">
        <v>42483</v>
      </c>
      <c r="B844">
        <v>13.66</v>
      </c>
      <c r="C844">
        <v>3.69</v>
      </c>
      <c r="D844">
        <v>8</v>
      </c>
      <c r="E844">
        <v>33.200000000000003</v>
      </c>
      <c r="F844">
        <v>8</v>
      </c>
      <c r="G844">
        <v>0</v>
      </c>
      <c r="H844">
        <v>0</v>
      </c>
      <c r="I844">
        <v>4.5</v>
      </c>
    </row>
    <row r="845" spans="1:9" x14ac:dyDescent="0.25">
      <c r="A845" s="18">
        <v>42484</v>
      </c>
      <c r="B845">
        <v>1</v>
      </c>
      <c r="C845">
        <v>6.66</v>
      </c>
      <c r="D845">
        <v>5.5</v>
      </c>
      <c r="E845">
        <v>36.950000000000003</v>
      </c>
      <c r="F845">
        <v>3</v>
      </c>
      <c r="G845">
        <v>0</v>
      </c>
      <c r="H845">
        <v>6</v>
      </c>
      <c r="I845">
        <v>5</v>
      </c>
    </row>
    <row r="846" spans="1:9" x14ac:dyDescent="0.25">
      <c r="A846" s="18">
        <v>42485</v>
      </c>
      <c r="B846">
        <v>6.67</v>
      </c>
      <c r="C846">
        <v>1.66</v>
      </c>
      <c r="D846">
        <v>7.25</v>
      </c>
      <c r="E846">
        <v>21.7</v>
      </c>
      <c r="F846">
        <v>20</v>
      </c>
      <c r="G846">
        <v>1</v>
      </c>
      <c r="H846">
        <v>3</v>
      </c>
      <c r="I846">
        <v>2.5</v>
      </c>
    </row>
    <row r="847" spans="1:9" x14ac:dyDescent="0.25">
      <c r="A847" s="18">
        <v>42486</v>
      </c>
      <c r="B847">
        <v>5.33</v>
      </c>
      <c r="C847">
        <v>4.99</v>
      </c>
      <c r="D847">
        <v>7</v>
      </c>
      <c r="E847">
        <v>27.2</v>
      </c>
      <c r="F847">
        <v>19</v>
      </c>
      <c r="G847">
        <v>0</v>
      </c>
      <c r="H847">
        <v>7</v>
      </c>
      <c r="I847">
        <v>2</v>
      </c>
    </row>
    <row r="848" spans="1:9" x14ac:dyDescent="0.25">
      <c r="A848" s="18">
        <v>42487</v>
      </c>
      <c r="B848">
        <v>5.66</v>
      </c>
      <c r="C848">
        <v>7.4950000000000001</v>
      </c>
      <c r="D848">
        <v>7</v>
      </c>
      <c r="E848">
        <v>47.4</v>
      </c>
      <c r="F848">
        <v>27</v>
      </c>
      <c r="G848">
        <v>0</v>
      </c>
      <c r="H848">
        <v>1</v>
      </c>
      <c r="I848">
        <v>2</v>
      </c>
    </row>
    <row r="849" spans="1:9" x14ac:dyDescent="0.25">
      <c r="A849" s="18">
        <v>42488</v>
      </c>
      <c r="B849">
        <v>4.66</v>
      </c>
      <c r="C849">
        <v>6.34</v>
      </c>
      <c r="D849">
        <v>6</v>
      </c>
      <c r="E849">
        <v>28</v>
      </c>
      <c r="F849">
        <v>17.666666670000001</v>
      </c>
      <c r="G849">
        <v>0</v>
      </c>
      <c r="H849">
        <v>12</v>
      </c>
      <c r="I849">
        <v>12</v>
      </c>
    </row>
    <row r="850" spans="1:9" x14ac:dyDescent="0.25">
      <c r="A850" s="18">
        <v>42489</v>
      </c>
      <c r="B850">
        <v>6.66</v>
      </c>
      <c r="C850">
        <v>3</v>
      </c>
      <c r="D850">
        <v>2.5</v>
      </c>
      <c r="E850">
        <v>37</v>
      </c>
      <c r="F850">
        <v>15</v>
      </c>
      <c r="G850">
        <v>0</v>
      </c>
      <c r="H850">
        <v>1</v>
      </c>
      <c r="I850">
        <v>3.2</v>
      </c>
    </row>
    <row r="851" spans="1:9" x14ac:dyDescent="0.25">
      <c r="A851" s="18">
        <v>42490</v>
      </c>
      <c r="B851">
        <v>9.66</v>
      </c>
      <c r="C851">
        <v>10.32</v>
      </c>
      <c r="D851">
        <v>7</v>
      </c>
      <c r="E851">
        <v>47.811999999999998</v>
      </c>
      <c r="F851">
        <v>11</v>
      </c>
      <c r="G851">
        <v>0</v>
      </c>
      <c r="H851">
        <v>1</v>
      </c>
      <c r="I851">
        <v>4.5</v>
      </c>
    </row>
    <row r="852" spans="1:9" x14ac:dyDescent="0.25">
      <c r="A852" s="18">
        <v>42491</v>
      </c>
      <c r="B852">
        <v>4</v>
      </c>
      <c r="C852">
        <v>6.66</v>
      </c>
      <c r="D852">
        <v>1</v>
      </c>
      <c r="E852">
        <v>21.4</v>
      </c>
      <c r="F852">
        <v>6</v>
      </c>
      <c r="G852">
        <v>1</v>
      </c>
      <c r="H852">
        <v>4</v>
      </c>
      <c r="I852">
        <v>5</v>
      </c>
    </row>
    <row r="853" spans="1:9" x14ac:dyDescent="0.25">
      <c r="A853" s="18">
        <v>42492</v>
      </c>
      <c r="B853">
        <v>4</v>
      </c>
      <c r="C853">
        <v>1.02</v>
      </c>
      <c r="D853">
        <v>1</v>
      </c>
      <c r="E853">
        <v>39.200000000000003</v>
      </c>
      <c r="F853">
        <v>7</v>
      </c>
      <c r="G853">
        <v>0</v>
      </c>
      <c r="H853">
        <v>5</v>
      </c>
      <c r="I853">
        <v>2</v>
      </c>
    </row>
    <row r="854" spans="1:9" x14ac:dyDescent="0.25">
      <c r="A854" s="18">
        <v>42493</v>
      </c>
      <c r="B854">
        <v>6.33</v>
      </c>
      <c r="C854">
        <v>5.99</v>
      </c>
      <c r="D854">
        <v>3</v>
      </c>
      <c r="E854">
        <v>23.9</v>
      </c>
      <c r="F854">
        <v>3</v>
      </c>
      <c r="G854">
        <v>0</v>
      </c>
      <c r="H854">
        <v>0</v>
      </c>
      <c r="I854">
        <v>2</v>
      </c>
    </row>
    <row r="855" spans="1:9" x14ac:dyDescent="0.25">
      <c r="A855" s="18">
        <v>42494</v>
      </c>
      <c r="B855">
        <v>7.34</v>
      </c>
      <c r="C855">
        <v>3</v>
      </c>
      <c r="D855">
        <v>5</v>
      </c>
      <c r="E855">
        <v>32.200000000000003</v>
      </c>
      <c r="F855">
        <v>4</v>
      </c>
      <c r="G855">
        <v>0</v>
      </c>
      <c r="H855">
        <v>1</v>
      </c>
      <c r="I855">
        <v>2</v>
      </c>
    </row>
    <row r="856" spans="1:9" x14ac:dyDescent="0.25">
      <c r="A856" s="18">
        <v>42495</v>
      </c>
      <c r="B856">
        <v>4.66</v>
      </c>
      <c r="C856">
        <v>3</v>
      </c>
      <c r="D856">
        <v>6</v>
      </c>
      <c r="E856">
        <v>41</v>
      </c>
      <c r="F856">
        <v>16</v>
      </c>
      <c r="G856">
        <v>3</v>
      </c>
      <c r="H856">
        <v>1</v>
      </c>
      <c r="I856">
        <v>2</v>
      </c>
    </row>
    <row r="857" spans="1:9" x14ac:dyDescent="0.25">
      <c r="A857" s="18">
        <v>42496</v>
      </c>
      <c r="B857">
        <v>4</v>
      </c>
      <c r="C857">
        <v>2.99</v>
      </c>
      <c r="D857">
        <v>1</v>
      </c>
      <c r="E857">
        <v>33.6</v>
      </c>
      <c r="F857">
        <v>7</v>
      </c>
      <c r="G857">
        <v>0</v>
      </c>
      <c r="H857">
        <v>1</v>
      </c>
      <c r="I857">
        <v>3</v>
      </c>
    </row>
    <row r="858" spans="1:9" x14ac:dyDescent="0.25">
      <c r="A858" s="18">
        <v>42497</v>
      </c>
      <c r="B858">
        <v>3.99</v>
      </c>
      <c r="C858">
        <v>8.34</v>
      </c>
      <c r="D858">
        <v>4</v>
      </c>
      <c r="E858">
        <v>47.2</v>
      </c>
      <c r="F858">
        <v>5</v>
      </c>
      <c r="G858">
        <v>1</v>
      </c>
      <c r="H858">
        <v>0</v>
      </c>
      <c r="I858">
        <v>10</v>
      </c>
    </row>
    <row r="859" spans="1:9" x14ac:dyDescent="0.25">
      <c r="A859" s="18">
        <v>42498</v>
      </c>
      <c r="B859">
        <v>5</v>
      </c>
      <c r="C859">
        <v>10.66</v>
      </c>
      <c r="D859">
        <v>1</v>
      </c>
      <c r="E859">
        <v>40.4</v>
      </c>
      <c r="F859">
        <v>12</v>
      </c>
      <c r="G859">
        <v>0</v>
      </c>
      <c r="H859">
        <v>1</v>
      </c>
      <c r="I859">
        <v>11</v>
      </c>
    </row>
    <row r="860" spans="1:9" x14ac:dyDescent="0.25">
      <c r="A860" s="18">
        <v>42499</v>
      </c>
      <c r="B860">
        <v>5.67</v>
      </c>
      <c r="C860">
        <v>6.3630000000000004</v>
      </c>
      <c r="D860">
        <v>5</v>
      </c>
      <c r="E860">
        <v>29.2</v>
      </c>
      <c r="F860">
        <v>3</v>
      </c>
      <c r="G860">
        <v>0</v>
      </c>
      <c r="H860">
        <v>2</v>
      </c>
      <c r="I860">
        <v>5</v>
      </c>
    </row>
    <row r="861" spans="1:9" x14ac:dyDescent="0.25">
      <c r="A861" s="18">
        <v>42500</v>
      </c>
      <c r="B861">
        <v>7.33</v>
      </c>
      <c r="C861">
        <v>3.67</v>
      </c>
      <c r="D861">
        <v>7</v>
      </c>
      <c r="E861">
        <v>28.25</v>
      </c>
      <c r="F861">
        <v>4</v>
      </c>
      <c r="G861">
        <v>0</v>
      </c>
      <c r="H861">
        <v>2</v>
      </c>
      <c r="I861">
        <v>3.5</v>
      </c>
    </row>
    <row r="862" spans="1:9" x14ac:dyDescent="0.25">
      <c r="A862" s="18">
        <v>42501</v>
      </c>
      <c r="B862">
        <v>5.33</v>
      </c>
      <c r="C862">
        <v>4.66</v>
      </c>
      <c r="D862">
        <v>4</v>
      </c>
      <c r="E862">
        <v>23</v>
      </c>
      <c r="F862">
        <v>13</v>
      </c>
      <c r="G862">
        <v>0</v>
      </c>
      <c r="H862">
        <v>3</v>
      </c>
      <c r="I862">
        <v>2</v>
      </c>
    </row>
    <row r="863" spans="1:9" x14ac:dyDescent="0.25">
      <c r="A863" s="18">
        <v>42502</v>
      </c>
      <c r="B863">
        <v>3.01</v>
      </c>
      <c r="C863">
        <v>1.7589999999999999</v>
      </c>
      <c r="D863">
        <v>8</v>
      </c>
      <c r="E863">
        <v>28.1</v>
      </c>
      <c r="F863">
        <v>8</v>
      </c>
      <c r="G863">
        <v>1</v>
      </c>
      <c r="H863">
        <v>2</v>
      </c>
      <c r="I863">
        <v>0</v>
      </c>
    </row>
    <row r="864" spans="1:9" x14ac:dyDescent="0.25">
      <c r="A864" s="18">
        <v>42503</v>
      </c>
      <c r="B864">
        <v>2.33</v>
      </c>
      <c r="C864">
        <v>2.33</v>
      </c>
      <c r="D864">
        <v>3</v>
      </c>
      <c r="E864">
        <v>37</v>
      </c>
      <c r="F864">
        <v>9</v>
      </c>
      <c r="G864">
        <v>0</v>
      </c>
      <c r="H864">
        <v>0</v>
      </c>
      <c r="I864">
        <v>5</v>
      </c>
    </row>
    <row r="865" spans="1:9" x14ac:dyDescent="0.25">
      <c r="A865" s="18">
        <v>42504</v>
      </c>
      <c r="B865">
        <v>5.34</v>
      </c>
      <c r="C865">
        <v>4.67</v>
      </c>
      <c r="D865">
        <v>5.55</v>
      </c>
      <c r="E865">
        <v>31.25</v>
      </c>
      <c r="F865">
        <v>13</v>
      </c>
      <c r="G865">
        <v>0</v>
      </c>
      <c r="H865">
        <v>21</v>
      </c>
      <c r="I865">
        <v>1</v>
      </c>
    </row>
    <row r="866" spans="1:9" x14ac:dyDescent="0.25">
      <c r="A866" s="18">
        <v>42505</v>
      </c>
      <c r="B866">
        <v>5.33</v>
      </c>
      <c r="C866">
        <v>8.1880000000000006</v>
      </c>
      <c r="D866">
        <v>1.2</v>
      </c>
      <c r="E866">
        <v>44.1</v>
      </c>
      <c r="F866">
        <v>6</v>
      </c>
      <c r="G866">
        <v>0</v>
      </c>
      <c r="H866">
        <v>5</v>
      </c>
      <c r="I866">
        <v>4</v>
      </c>
    </row>
    <row r="867" spans="1:9" x14ac:dyDescent="0.25">
      <c r="A867" s="18">
        <v>42506</v>
      </c>
      <c r="B867">
        <v>5</v>
      </c>
      <c r="C867">
        <v>3.66</v>
      </c>
      <c r="D867">
        <v>2</v>
      </c>
      <c r="E867">
        <v>24</v>
      </c>
      <c r="F867">
        <v>17</v>
      </c>
      <c r="G867">
        <v>0</v>
      </c>
      <c r="H867">
        <v>2</v>
      </c>
      <c r="I867">
        <v>3</v>
      </c>
    </row>
    <row r="868" spans="1:9" x14ac:dyDescent="0.25">
      <c r="A868" s="18">
        <v>42507</v>
      </c>
      <c r="B868">
        <v>4</v>
      </c>
      <c r="C868">
        <v>2.33</v>
      </c>
      <c r="D868">
        <v>7.1</v>
      </c>
      <c r="E868">
        <v>38.4</v>
      </c>
      <c r="F868">
        <v>4</v>
      </c>
      <c r="G868">
        <v>0</v>
      </c>
      <c r="H868">
        <v>1</v>
      </c>
      <c r="I868">
        <v>3.2</v>
      </c>
    </row>
    <row r="869" spans="1:9" x14ac:dyDescent="0.25">
      <c r="A869" s="18">
        <v>42508</v>
      </c>
      <c r="B869">
        <v>4</v>
      </c>
      <c r="C869">
        <v>5.33</v>
      </c>
      <c r="D869">
        <v>5.25</v>
      </c>
      <c r="E869">
        <v>35</v>
      </c>
      <c r="F869">
        <v>7</v>
      </c>
      <c r="G869">
        <v>0</v>
      </c>
      <c r="H869">
        <v>1</v>
      </c>
      <c r="I869">
        <v>5</v>
      </c>
    </row>
    <row r="870" spans="1:9" x14ac:dyDescent="0.25">
      <c r="A870" s="18">
        <v>42509</v>
      </c>
      <c r="B870">
        <v>6.34</v>
      </c>
      <c r="C870">
        <v>5.66</v>
      </c>
      <c r="D870">
        <v>2</v>
      </c>
      <c r="E870">
        <v>30.5</v>
      </c>
      <c r="F870">
        <v>10</v>
      </c>
      <c r="G870">
        <v>0</v>
      </c>
      <c r="H870">
        <v>16</v>
      </c>
      <c r="I870">
        <v>3</v>
      </c>
    </row>
    <row r="871" spans="1:9" x14ac:dyDescent="0.25">
      <c r="A871" s="18">
        <v>42510</v>
      </c>
      <c r="B871">
        <v>3</v>
      </c>
      <c r="C871">
        <v>1.1319999999999999</v>
      </c>
      <c r="D871">
        <v>3</v>
      </c>
      <c r="E871">
        <v>14</v>
      </c>
      <c r="F871">
        <v>14</v>
      </c>
      <c r="G871">
        <v>2</v>
      </c>
      <c r="H871">
        <v>9</v>
      </c>
      <c r="I871">
        <v>5</v>
      </c>
    </row>
    <row r="872" spans="1:9" x14ac:dyDescent="0.25">
      <c r="A872" s="18">
        <v>42511</v>
      </c>
      <c r="B872">
        <v>2</v>
      </c>
      <c r="C872">
        <v>5.34</v>
      </c>
      <c r="D872">
        <v>5.2</v>
      </c>
      <c r="E872">
        <v>42.5</v>
      </c>
      <c r="F872">
        <v>3</v>
      </c>
      <c r="G872">
        <v>0</v>
      </c>
      <c r="H872">
        <v>17</v>
      </c>
      <c r="I872">
        <v>5</v>
      </c>
    </row>
    <row r="873" spans="1:9" x14ac:dyDescent="0.25">
      <c r="A873" s="18">
        <v>42512</v>
      </c>
      <c r="B873">
        <v>4.34</v>
      </c>
      <c r="C873">
        <v>4.51</v>
      </c>
      <c r="D873">
        <v>9.0500000000000007</v>
      </c>
      <c r="E873">
        <v>55.6</v>
      </c>
      <c r="F873">
        <v>6</v>
      </c>
      <c r="G873">
        <v>1</v>
      </c>
      <c r="H873">
        <v>0</v>
      </c>
      <c r="I873">
        <v>10</v>
      </c>
    </row>
    <row r="874" spans="1:9" x14ac:dyDescent="0.25">
      <c r="A874" s="18">
        <v>42513</v>
      </c>
      <c r="B874">
        <v>5</v>
      </c>
      <c r="C874">
        <v>2.363</v>
      </c>
      <c r="D874">
        <v>5</v>
      </c>
      <c r="E874">
        <v>54.7</v>
      </c>
      <c r="F874">
        <v>19</v>
      </c>
      <c r="G874">
        <v>0</v>
      </c>
      <c r="H874">
        <v>7</v>
      </c>
      <c r="I874">
        <v>4</v>
      </c>
    </row>
    <row r="875" spans="1:9" x14ac:dyDescent="0.25">
      <c r="A875" s="18">
        <v>42514</v>
      </c>
      <c r="B875">
        <v>12</v>
      </c>
      <c r="C875">
        <v>3.1669999999999998</v>
      </c>
      <c r="D875">
        <v>4</v>
      </c>
      <c r="E875">
        <v>32</v>
      </c>
      <c r="F875">
        <v>3</v>
      </c>
      <c r="G875">
        <v>0</v>
      </c>
      <c r="H875">
        <v>3</v>
      </c>
      <c r="I875">
        <v>2</v>
      </c>
    </row>
    <row r="876" spans="1:9" x14ac:dyDescent="0.25">
      <c r="A876" s="18">
        <v>42515</v>
      </c>
      <c r="B876">
        <v>8.34</v>
      </c>
      <c r="C876">
        <v>1.67</v>
      </c>
      <c r="D876">
        <v>6</v>
      </c>
      <c r="E876">
        <v>25.05</v>
      </c>
      <c r="F876">
        <v>16</v>
      </c>
      <c r="G876">
        <v>1</v>
      </c>
      <c r="H876">
        <v>0</v>
      </c>
      <c r="I876">
        <v>1.2</v>
      </c>
    </row>
    <row r="877" spans="1:9" x14ac:dyDescent="0.25">
      <c r="A877" s="18">
        <v>42516</v>
      </c>
      <c r="B877">
        <v>4.67</v>
      </c>
      <c r="C877">
        <v>5.33</v>
      </c>
      <c r="D877">
        <v>5.35</v>
      </c>
      <c r="E877">
        <v>24.8</v>
      </c>
      <c r="F877">
        <v>20</v>
      </c>
      <c r="G877">
        <v>1</v>
      </c>
      <c r="H877">
        <v>0</v>
      </c>
      <c r="I877">
        <v>9</v>
      </c>
    </row>
    <row r="878" spans="1:9" x14ac:dyDescent="0.25">
      <c r="A878" s="18">
        <v>42517</v>
      </c>
      <c r="B878">
        <v>8.67</v>
      </c>
      <c r="C878">
        <v>2.6829999999999998</v>
      </c>
      <c r="D878">
        <v>5.25</v>
      </c>
      <c r="E878">
        <v>17</v>
      </c>
      <c r="F878">
        <v>14</v>
      </c>
      <c r="G878">
        <v>7</v>
      </c>
      <c r="H878">
        <v>2</v>
      </c>
      <c r="I878">
        <v>6</v>
      </c>
    </row>
    <row r="879" spans="1:9" x14ac:dyDescent="0.25">
      <c r="A879" s="18">
        <v>42518</v>
      </c>
      <c r="B879">
        <v>12.33</v>
      </c>
      <c r="C879">
        <v>0.36299999999999999</v>
      </c>
      <c r="D879">
        <v>3</v>
      </c>
      <c r="E879">
        <v>43</v>
      </c>
      <c r="F879">
        <v>4</v>
      </c>
      <c r="G879">
        <v>0</v>
      </c>
      <c r="H879">
        <v>4</v>
      </c>
      <c r="I879">
        <v>9</v>
      </c>
    </row>
    <row r="880" spans="1:9" x14ac:dyDescent="0.25">
      <c r="A880" s="18">
        <v>42519</v>
      </c>
      <c r="B880">
        <v>8.67</v>
      </c>
      <c r="C880">
        <v>4.33</v>
      </c>
      <c r="D880">
        <v>6</v>
      </c>
      <c r="E880">
        <v>31.8</v>
      </c>
      <c r="F880">
        <v>2</v>
      </c>
      <c r="G880">
        <v>1</v>
      </c>
      <c r="H880">
        <v>5</v>
      </c>
      <c r="I880">
        <v>9.1999999999999993</v>
      </c>
    </row>
    <row r="881" spans="1:9" x14ac:dyDescent="0.25">
      <c r="A881" s="18">
        <v>42520</v>
      </c>
      <c r="B881">
        <v>3.34</v>
      </c>
      <c r="C881">
        <v>3.0230000000000001</v>
      </c>
      <c r="D881">
        <v>4.0999999999999996</v>
      </c>
      <c r="E881">
        <v>29.4</v>
      </c>
      <c r="F881">
        <v>3</v>
      </c>
      <c r="G881">
        <v>0</v>
      </c>
      <c r="H881">
        <v>7</v>
      </c>
      <c r="I881">
        <v>8</v>
      </c>
    </row>
    <row r="882" spans="1:9" x14ac:dyDescent="0.25">
      <c r="A882" s="18">
        <v>42521</v>
      </c>
      <c r="B882">
        <v>6</v>
      </c>
      <c r="C882">
        <v>3.33</v>
      </c>
      <c r="D882">
        <v>3.5</v>
      </c>
      <c r="E882">
        <v>21</v>
      </c>
      <c r="F882">
        <v>3</v>
      </c>
      <c r="G882">
        <v>0</v>
      </c>
      <c r="H882">
        <v>13</v>
      </c>
      <c r="I882">
        <v>2</v>
      </c>
    </row>
    <row r="883" spans="1:9" x14ac:dyDescent="0.25">
      <c r="A883" s="18">
        <v>42522</v>
      </c>
      <c r="B883">
        <v>9</v>
      </c>
      <c r="C883">
        <v>1.1000000000000001</v>
      </c>
      <c r="D883">
        <v>2</v>
      </c>
      <c r="E883">
        <v>20</v>
      </c>
      <c r="F883">
        <v>11</v>
      </c>
      <c r="G883">
        <v>0</v>
      </c>
      <c r="H883">
        <v>7</v>
      </c>
      <c r="I883">
        <v>5</v>
      </c>
    </row>
    <row r="884" spans="1:9" x14ac:dyDescent="0.25">
      <c r="A884" s="18">
        <v>42523</v>
      </c>
      <c r="B884">
        <v>2.33</v>
      </c>
      <c r="C884">
        <v>6</v>
      </c>
      <c r="D884">
        <v>1.05</v>
      </c>
      <c r="E884">
        <v>21.25</v>
      </c>
      <c r="F884">
        <v>18</v>
      </c>
      <c r="G884">
        <v>3</v>
      </c>
      <c r="H884">
        <v>4</v>
      </c>
      <c r="I884">
        <v>1</v>
      </c>
    </row>
    <row r="885" spans="1:9" x14ac:dyDescent="0.25">
      <c r="A885" s="18">
        <v>42524</v>
      </c>
      <c r="B885">
        <v>7.33</v>
      </c>
      <c r="C885">
        <v>3</v>
      </c>
      <c r="D885">
        <v>4</v>
      </c>
      <c r="E885">
        <v>18</v>
      </c>
      <c r="F885">
        <v>8</v>
      </c>
      <c r="G885">
        <v>0</v>
      </c>
      <c r="H885">
        <v>1</v>
      </c>
      <c r="I885">
        <v>7</v>
      </c>
    </row>
    <row r="886" spans="1:9" x14ac:dyDescent="0.25">
      <c r="A886" s="18">
        <v>42525</v>
      </c>
      <c r="B886">
        <v>3.33</v>
      </c>
      <c r="C886">
        <v>3.34</v>
      </c>
      <c r="D886">
        <v>3.3</v>
      </c>
      <c r="E886">
        <v>21</v>
      </c>
      <c r="F886">
        <v>2</v>
      </c>
      <c r="G886">
        <v>0</v>
      </c>
      <c r="H886">
        <v>0</v>
      </c>
      <c r="I886">
        <v>4</v>
      </c>
    </row>
    <row r="887" spans="1:9" x14ac:dyDescent="0.25">
      <c r="A887" s="18">
        <v>42526</v>
      </c>
      <c r="B887">
        <v>10.34</v>
      </c>
      <c r="C887">
        <v>3.0659999999999998</v>
      </c>
      <c r="D887">
        <v>4.3</v>
      </c>
      <c r="E887">
        <v>23.4</v>
      </c>
      <c r="F887">
        <v>5</v>
      </c>
      <c r="G887">
        <v>0</v>
      </c>
      <c r="H887">
        <v>3</v>
      </c>
      <c r="I887">
        <v>4</v>
      </c>
    </row>
    <row r="888" spans="1:9" x14ac:dyDescent="0.25">
      <c r="A888" s="18">
        <v>42527</v>
      </c>
      <c r="B888">
        <v>5.33</v>
      </c>
      <c r="C888">
        <v>2.802</v>
      </c>
      <c r="D888">
        <v>4</v>
      </c>
      <c r="E888">
        <v>26.2</v>
      </c>
      <c r="F888">
        <v>5</v>
      </c>
      <c r="G888">
        <v>0</v>
      </c>
      <c r="H888">
        <v>6</v>
      </c>
      <c r="I888">
        <v>6</v>
      </c>
    </row>
    <row r="889" spans="1:9" x14ac:dyDescent="0.25">
      <c r="A889" s="18">
        <v>42528</v>
      </c>
      <c r="B889">
        <v>6</v>
      </c>
      <c r="C889">
        <v>3.363</v>
      </c>
      <c r="D889">
        <v>4.0999999999999996</v>
      </c>
      <c r="E889">
        <v>28.5</v>
      </c>
      <c r="F889">
        <v>13</v>
      </c>
      <c r="G889">
        <v>0</v>
      </c>
      <c r="H889">
        <v>10</v>
      </c>
      <c r="I889">
        <v>3</v>
      </c>
    </row>
    <row r="890" spans="1:9" x14ac:dyDescent="0.25">
      <c r="A890" s="18">
        <v>42529</v>
      </c>
      <c r="B890">
        <v>8.66</v>
      </c>
      <c r="C890">
        <v>1.33</v>
      </c>
      <c r="D890">
        <v>5.5</v>
      </c>
      <c r="E890">
        <v>45.061999999999998</v>
      </c>
      <c r="F890">
        <v>10</v>
      </c>
      <c r="G890">
        <v>0</v>
      </c>
      <c r="H890">
        <v>5</v>
      </c>
      <c r="I890">
        <v>6</v>
      </c>
    </row>
    <row r="891" spans="1:9" x14ac:dyDescent="0.25">
      <c r="A891" s="18">
        <v>42530</v>
      </c>
      <c r="B891">
        <v>8.67</v>
      </c>
      <c r="C891">
        <v>4.33</v>
      </c>
      <c r="D891">
        <v>2</v>
      </c>
      <c r="E891">
        <v>20.6</v>
      </c>
      <c r="F891">
        <v>7</v>
      </c>
      <c r="G891">
        <v>0</v>
      </c>
      <c r="H891">
        <v>1</v>
      </c>
      <c r="I891">
        <v>4.2</v>
      </c>
    </row>
    <row r="892" spans="1:9" x14ac:dyDescent="0.25">
      <c r="A892" s="18">
        <v>42531</v>
      </c>
      <c r="B892">
        <v>8.33</v>
      </c>
      <c r="C892">
        <v>4</v>
      </c>
      <c r="D892">
        <v>4</v>
      </c>
      <c r="E892">
        <v>26</v>
      </c>
      <c r="F892">
        <v>11</v>
      </c>
      <c r="G892">
        <v>2</v>
      </c>
      <c r="H892">
        <v>0</v>
      </c>
      <c r="I892">
        <v>5</v>
      </c>
    </row>
    <row r="893" spans="1:9" x14ac:dyDescent="0.25">
      <c r="A893" s="18">
        <v>42532</v>
      </c>
      <c r="B893">
        <v>10.66</v>
      </c>
      <c r="C893">
        <v>2.8250000000000002</v>
      </c>
      <c r="D893">
        <v>2</v>
      </c>
      <c r="E893">
        <v>35.6</v>
      </c>
      <c r="F893">
        <v>4</v>
      </c>
      <c r="G893">
        <v>1</v>
      </c>
      <c r="H893">
        <v>10</v>
      </c>
      <c r="I893">
        <v>8</v>
      </c>
    </row>
    <row r="894" spans="1:9" x14ac:dyDescent="0.25">
      <c r="A894" s="18">
        <v>42533</v>
      </c>
      <c r="B894">
        <v>8.34</v>
      </c>
      <c r="C894">
        <v>7.3529999999999998</v>
      </c>
      <c r="D894">
        <v>3.4</v>
      </c>
      <c r="E894">
        <v>47</v>
      </c>
      <c r="F894">
        <v>8</v>
      </c>
      <c r="G894">
        <v>0</v>
      </c>
      <c r="H894">
        <v>4</v>
      </c>
      <c r="I894">
        <v>6</v>
      </c>
    </row>
    <row r="895" spans="1:9" x14ac:dyDescent="0.25">
      <c r="A895" s="18">
        <v>42534</v>
      </c>
      <c r="B895">
        <v>5.66</v>
      </c>
      <c r="C895">
        <v>4.7359999999999998</v>
      </c>
      <c r="D895">
        <v>1</v>
      </c>
      <c r="E895">
        <v>15</v>
      </c>
      <c r="F895">
        <v>7</v>
      </c>
      <c r="G895">
        <v>0</v>
      </c>
      <c r="H895">
        <v>1</v>
      </c>
      <c r="I895">
        <v>2</v>
      </c>
    </row>
    <row r="896" spans="1:9" x14ac:dyDescent="0.25">
      <c r="A896" s="18">
        <v>42535</v>
      </c>
      <c r="B896">
        <v>2.33</v>
      </c>
      <c r="C896">
        <v>6</v>
      </c>
      <c r="D896">
        <v>6.1</v>
      </c>
      <c r="E896">
        <v>17.399999999999999</v>
      </c>
      <c r="F896">
        <v>17</v>
      </c>
      <c r="G896">
        <v>1</v>
      </c>
      <c r="H896">
        <v>2</v>
      </c>
      <c r="I896">
        <v>3</v>
      </c>
    </row>
    <row r="897" spans="1:9" x14ac:dyDescent="0.25">
      <c r="A897" s="18">
        <v>42536</v>
      </c>
      <c r="B897">
        <v>5</v>
      </c>
      <c r="C897">
        <v>5.4950000000000001</v>
      </c>
      <c r="D897">
        <v>7</v>
      </c>
      <c r="E897">
        <v>35</v>
      </c>
      <c r="F897">
        <v>22</v>
      </c>
      <c r="G897">
        <v>1</v>
      </c>
      <c r="H897">
        <v>1</v>
      </c>
      <c r="I897">
        <v>6</v>
      </c>
    </row>
    <row r="898" spans="1:9" x14ac:dyDescent="0.25">
      <c r="A898" s="18">
        <v>42537</v>
      </c>
      <c r="B898">
        <v>4</v>
      </c>
      <c r="C898">
        <v>0.33</v>
      </c>
      <c r="D898">
        <v>1</v>
      </c>
      <c r="E898">
        <v>20.5</v>
      </c>
      <c r="F898">
        <v>4</v>
      </c>
      <c r="G898">
        <v>0</v>
      </c>
      <c r="H898">
        <v>22</v>
      </c>
      <c r="I898">
        <v>3</v>
      </c>
    </row>
    <row r="899" spans="1:9" x14ac:dyDescent="0.25">
      <c r="A899" s="18">
        <v>42538</v>
      </c>
      <c r="B899">
        <v>3.34</v>
      </c>
      <c r="C899">
        <v>3.67</v>
      </c>
      <c r="D899">
        <v>3.65</v>
      </c>
      <c r="E899">
        <v>20</v>
      </c>
      <c r="F899">
        <v>8</v>
      </c>
      <c r="G899">
        <v>0</v>
      </c>
      <c r="H899">
        <v>4</v>
      </c>
      <c r="I899">
        <v>4</v>
      </c>
    </row>
    <row r="900" spans="1:9" x14ac:dyDescent="0.25">
      <c r="A900" s="18">
        <v>42539</v>
      </c>
      <c r="B900">
        <v>2</v>
      </c>
      <c r="C900">
        <v>4.33</v>
      </c>
      <c r="D900">
        <v>6.5</v>
      </c>
      <c r="E900">
        <v>37.5</v>
      </c>
      <c r="F900">
        <v>1</v>
      </c>
      <c r="G900">
        <v>0</v>
      </c>
      <c r="H900">
        <v>5</v>
      </c>
      <c r="I900">
        <v>4</v>
      </c>
    </row>
    <row r="901" spans="1:9" x14ac:dyDescent="0.25">
      <c r="A901" s="18">
        <v>42540</v>
      </c>
      <c r="B901">
        <v>6.34</v>
      </c>
      <c r="C901">
        <v>6.01</v>
      </c>
      <c r="D901">
        <v>3</v>
      </c>
      <c r="E901">
        <v>40</v>
      </c>
      <c r="F901">
        <v>1</v>
      </c>
      <c r="G901">
        <v>0</v>
      </c>
      <c r="H901">
        <v>7</v>
      </c>
      <c r="I901">
        <v>15</v>
      </c>
    </row>
    <row r="902" spans="1:9" x14ac:dyDescent="0.25">
      <c r="A902" s="18">
        <v>42541</v>
      </c>
      <c r="B902">
        <v>7.34</v>
      </c>
      <c r="C902">
        <v>3.34</v>
      </c>
      <c r="D902">
        <v>6</v>
      </c>
      <c r="E902">
        <v>22.388000000000002</v>
      </c>
      <c r="F902">
        <v>5</v>
      </c>
      <c r="G902">
        <v>0</v>
      </c>
      <c r="H902">
        <v>8</v>
      </c>
      <c r="I902">
        <v>6</v>
      </c>
    </row>
    <row r="903" spans="1:9" x14ac:dyDescent="0.25">
      <c r="A903" s="18">
        <v>42542</v>
      </c>
      <c r="B903">
        <v>7.33</v>
      </c>
      <c r="C903">
        <v>4.66</v>
      </c>
      <c r="D903">
        <v>9</v>
      </c>
      <c r="E903">
        <v>23</v>
      </c>
      <c r="F903">
        <v>15</v>
      </c>
      <c r="G903">
        <v>0</v>
      </c>
      <c r="H903">
        <v>7</v>
      </c>
      <c r="I903">
        <v>5.6</v>
      </c>
    </row>
    <row r="904" spans="1:9" x14ac:dyDescent="0.25">
      <c r="A904" s="18">
        <v>42543</v>
      </c>
      <c r="B904">
        <v>2</v>
      </c>
      <c r="C904">
        <v>6.0670000000000002</v>
      </c>
      <c r="D904">
        <v>2.2999999999999998</v>
      </c>
      <c r="E904">
        <v>42</v>
      </c>
      <c r="F904">
        <v>6</v>
      </c>
      <c r="G904">
        <v>0</v>
      </c>
      <c r="H904">
        <v>2</v>
      </c>
      <c r="I904">
        <v>2</v>
      </c>
    </row>
    <row r="905" spans="1:9" x14ac:dyDescent="0.25">
      <c r="A905" s="18">
        <v>42544</v>
      </c>
      <c r="B905">
        <v>3</v>
      </c>
      <c r="C905">
        <v>0.33</v>
      </c>
      <c r="D905">
        <v>2.2999999999999998</v>
      </c>
      <c r="E905">
        <v>19</v>
      </c>
      <c r="F905">
        <v>5</v>
      </c>
      <c r="G905">
        <v>0</v>
      </c>
      <c r="H905">
        <v>1</v>
      </c>
      <c r="I905">
        <v>3</v>
      </c>
    </row>
    <row r="906" spans="1:9" x14ac:dyDescent="0.25">
      <c r="A906" s="18">
        <v>42545</v>
      </c>
      <c r="B906">
        <v>6</v>
      </c>
      <c r="C906">
        <v>2.34</v>
      </c>
      <c r="D906">
        <v>3.05</v>
      </c>
      <c r="E906">
        <v>19</v>
      </c>
      <c r="F906">
        <v>15</v>
      </c>
      <c r="G906">
        <v>0</v>
      </c>
      <c r="H906">
        <v>1</v>
      </c>
      <c r="I906">
        <v>2</v>
      </c>
    </row>
    <row r="907" spans="1:9" x14ac:dyDescent="0.25">
      <c r="A907" s="18">
        <v>42546</v>
      </c>
      <c r="B907">
        <v>5.68</v>
      </c>
      <c r="C907">
        <v>4.99</v>
      </c>
      <c r="D907">
        <v>8</v>
      </c>
      <c r="E907">
        <v>20.25</v>
      </c>
      <c r="F907">
        <v>5</v>
      </c>
      <c r="G907">
        <v>0</v>
      </c>
      <c r="H907">
        <v>1</v>
      </c>
      <c r="I907">
        <v>4</v>
      </c>
    </row>
    <row r="908" spans="1:9" x14ac:dyDescent="0.25">
      <c r="A908" s="18">
        <v>42547</v>
      </c>
      <c r="B908">
        <v>3</v>
      </c>
      <c r="C908">
        <v>3.8450000000000002</v>
      </c>
      <c r="D908">
        <v>2</v>
      </c>
      <c r="E908">
        <v>17.399999999999999</v>
      </c>
      <c r="F908">
        <v>20</v>
      </c>
      <c r="G908">
        <v>0</v>
      </c>
      <c r="H908">
        <v>2</v>
      </c>
      <c r="I908">
        <v>3</v>
      </c>
    </row>
    <row r="909" spans="1:9" x14ac:dyDescent="0.25">
      <c r="A909" s="18">
        <v>42548</v>
      </c>
      <c r="B909">
        <v>6</v>
      </c>
      <c r="C909">
        <v>3.0670000000000002</v>
      </c>
      <c r="D909">
        <v>5.25</v>
      </c>
      <c r="E909">
        <v>24</v>
      </c>
      <c r="F909">
        <v>9</v>
      </c>
      <c r="G909">
        <v>0</v>
      </c>
      <c r="H909">
        <v>9</v>
      </c>
      <c r="I909">
        <v>2</v>
      </c>
    </row>
    <row r="910" spans="1:9" x14ac:dyDescent="0.25">
      <c r="A910" s="18">
        <v>42549</v>
      </c>
      <c r="B910">
        <v>1.33</v>
      </c>
      <c r="C910">
        <v>1.429</v>
      </c>
      <c r="D910">
        <v>2.25</v>
      </c>
      <c r="E910">
        <v>24</v>
      </c>
      <c r="F910">
        <v>20</v>
      </c>
      <c r="G910">
        <v>5</v>
      </c>
      <c r="H910">
        <v>2</v>
      </c>
      <c r="I910">
        <v>7</v>
      </c>
    </row>
    <row r="911" spans="1:9" x14ac:dyDescent="0.25">
      <c r="A911" s="18">
        <v>42550</v>
      </c>
      <c r="B911">
        <v>7</v>
      </c>
      <c r="C911">
        <v>8.01</v>
      </c>
      <c r="D911">
        <v>6.5</v>
      </c>
      <c r="E911">
        <v>22</v>
      </c>
      <c r="F911">
        <v>12.5</v>
      </c>
      <c r="G911">
        <v>7</v>
      </c>
      <c r="H911">
        <v>1</v>
      </c>
      <c r="I911">
        <v>2</v>
      </c>
    </row>
    <row r="912" spans="1:9" x14ac:dyDescent="0.25">
      <c r="A912" s="18">
        <v>42551</v>
      </c>
      <c r="B912">
        <v>4</v>
      </c>
      <c r="C912">
        <v>3.8029999999999999</v>
      </c>
      <c r="D912">
        <v>3.2</v>
      </c>
      <c r="E912">
        <v>9</v>
      </c>
      <c r="F912">
        <v>6</v>
      </c>
      <c r="G912">
        <v>0</v>
      </c>
      <c r="H912">
        <v>0</v>
      </c>
      <c r="I912">
        <v>2</v>
      </c>
    </row>
    <row r="913" spans="1:9" x14ac:dyDescent="0.25">
      <c r="A913" s="18">
        <v>42552</v>
      </c>
      <c r="B913">
        <v>4</v>
      </c>
      <c r="C913">
        <v>2.0099999999999998</v>
      </c>
      <c r="D913">
        <v>5.5</v>
      </c>
      <c r="E913">
        <v>24</v>
      </c>
      <c r="F913">
        <v>1</v>
      </c>
      <c r="G913">
        <v>0</v>
      </c>
      <c r="H913">
        <v>20</v>
      </c>
      <c r="I913">
        <v>7</v>
      </c>
    </row>
    <row r="914" spans="1:9" x14ac:dyDescent="0.25">
      <c r="A914" s="18">
        <v>42553</v>
      </c>
      <c r="B914">
        <v>4.66</v>
      </c>
      <c r="C914">
        <v>5.1319999999999997</v>
      </c>
      <c r="D914">
        <v>6</v>
      </c>
      <c r="E914">
        <v>25.4</v>
      </c>
      <c r="F914">
        <v>9</v>
      </c>
      <c r="G914">
        <v>0</v>
      </c>
      <c r="H914">
        <v>2</v>
      </c>
      <c r="I914">
        <v>3</v>
      </c>
    </row>
    <row r="915" spans="1:9" x14ac:dyDescent="0.25">
      <c r="A915" s="18">
        <v>42554</v>
      </c>
      <c r="B915">
        <v>6.67</v>
      </c>
      <c r="C915">
        <v>4.165</v>
      </c>
      <c r="D915">
        <v>5.4</v>
      </c>
      <c r="E915">
        <v>18.600000000000001</v>
      </c>
      <c r="F915">
        <v>4</v>
      </c>
      <c r="G915">
        <v>0</v>
      </c>
      <c r="H915">
        <v>11</v>
      </c>
      <c r="I915">
        <v>5</v>
      </c>
    </row>
    <row r="916" spans="1:9" x14ac:dyDescent="0.25">
      <c r="A916" s="18">
        <v>42555</v>
      </c>
      <c r="B916">
        <v>8.34</v>
      </c>
      <c r="C916">
        <v>5.34</v>
      </c>
      <c r="D916">
        <v>1.1499999999999999</v>
      </c>
      <c r="E916">
        <v>14</v>
      </c>
      <c r="F916">
        <v>8</v>
      </c>
      <c r="G916">
        <v>3</v>
      </c>
      <c r="H916">
        <v>7</v>
      </c>
      <c r="I916">
        <v>6</v>
      </c>
    </row>
    <row r="917" spans="1:9" x14ac:dyDescent="0.25">
      <c r="A917" s="18">
        <v>42556</v>
      </c>
      <c r="B917">
        <v>6</v>
      </c>
      <c r="C917">
        <v>4.01</v>
      </c>
      <c r="D917">
        <v>2</v>
      </c>
      <c r="E917">
        <v>19</v>
      </c>
      <c r="F917">
        <v>10</v>
      </c>
      <c r="G917">
        <v>0</v>
      </c>
      <c r="H917">
        <v>0</v>
      </c>
      <c r="I917">
        <v>3</v>
      </c>
    </row>
    <row r="918" spans="1:9" x14ac:dyDescent="0.25">
      <c r="A918" s="18">
        <v>42557</v>
      </c>
      <c r="B918">
        <v>9.33</v>
      </c>
      <c r="C918">
        <v>5.726</v>
      </c>
      <c r="D918">
        <v>5</v>
      </c>
      <c r="E918">
        <v>30</v>
      </c>
      <c r="F918">
        <v>5</v>
      </c>
      <c r="G918">
        <v>0</v>
      </c>
      <c r="H918">
        <v>8</v>
      </c>
      <c r="I918">
        <v>4</v>
      </c>
    </row>
    <row r="919" spans="1:9" x14ac:dyDescent="0.25">
      <c r="A919" s="18">
        <v>42558</v>
      </c>
      <c r="B919">
        <v>7.34</v>
      </c>
      <c r="C919">
        <v>5.01</v>
      </c>
      <c r="D919">
        <v>1</v>
      </c>
      <c r="E919">
        <v>21</v>
      </c>
      <c r="F919">
        <v>11</v>
      </c>
      <c r="G919">
        <v>1</v>
      </c>
      <c r="H919">
        <v>0</v>
      </c>
      <c r="I919">
        <v>2</v>
      </c>
    </row>
    <row r="920" spans="1:9" x14ac:dyDescent="0.25">
      <c r="A920" s="18">
        <v>42559</v>
      </c>
      <c r="B920">
        <v>1.34</v>
      </c>
      <c r="C920">
        <v>7.056</v>
      </c>
      <c r="D920">
        <v>9.1999999999999993</v>
      </c>
      <c r="E920">
        <v>28</v>
      </c>
      <c r="F920">
        <v>12</v>
      </c>
      <c r="G920">
        <v>1</v>
      </c>
      <c r="H920">
        <v>0</v>
      </c>
      <c r="I920">
        <v>4.3</v>
      </c>
    </row>
    <row r="921" spans="1:9" x14ac:dyDescent="0.25">
      <c r="A921" s="18">
        <v>42560</v>
      </c>
      <c r="B921">
        <v>3.33</v>
      </c>
      <c r="C921">
        <v>6</v>
      </c>
      <c r="D921">
        <v>4.5</v>
      </c>
      <c r="E921">
        <v>11</v>
      </c>
      <c r="F921">
        <v>12</v>
      </c>
      <c r="G921">
        <v>0</v>
      </c>
      <c r="H921">
        <v>0</v>
      </c>
      <c r="I921">
        <v>2</v>
      </c>
    </row>
    <row r="922" spans="1:9" x14ac:dyDescent="0.25">
      <c r="A922" s="18">
        <v>42561</v>
      </c>
      <c r="B922">
        <v>5.66</v>
      </c>
      <c r="C922">
        <v>8.32</v>
      </c>
      <c r="D922">
        <v>4.2</v>
      </c>
      <c r="E922">
        <v>29</v>
      </c>
      <c r="F922">
        <v>6</v>
      </c>
      <c r="G922">
        <v>0</v>
      </c>
      <c r="H922">
        <v>0</v>
      </c>
      <c r="I922">
        <v>3</v>
      </c>
    </row>
    <row r="923" spans="1:9" x14ac:dyDescent="0.25">
      <c r="A923" s="18">
        <v>42562</v>
      </c>
      <c r="B923">
        <v>6.33</v>
      </c>
      <c r="C923">
        <v>1.7030000000000001</v>
      </c>
      <c r="D923">
        <v>3</v>
      </c>
      <c r="E923">
        <v>19.312000000000001</v>
      </c>
      <c r="F923">
        <v>9</v>
      </c>
      <c r="G923">
        <v>0</v>
      </c>
      <c r="H923">
        <v>4</v>
      </c>
      <c r="I923">
        <v>6.2</v>
      </c>
    </row>
    <row r="924" spans="1:9" x14ac:dyDescent="0.25">
      <c r="A924" s="18">
        <v>42563</v>
      </c>
      <c r="B924">
        <v>5.67</v>
      </c>
      <c r="C924">
        <v>2.67</v>
      </c>
      <c r="D924">
        <v>4</v>
      </c>
      <c r="E924">
        <v>27.2</v>
      </c>
      <c r="F924">
        <v>14</v>
      </c>
      <c r="G924">
        <v>0</v>
      </c>
      <c r="H924">
        <v>3</v>
      </c>
      <c r="I924">
        <v>4</v>
      </c>
    </row>
    <row r="925" spans="1:9" x14ac:dyDescent="0.25">
      <c r="A925" s="18">
        <v>42564</v>
      </c>
      <c r="B925">
        <v>6.2183333330000004</v>
      </c>
      <c r="C925">
        <v>7</v>
      </c>
      <c r="D925">
        <v>5</v>
      </c>
      <c r="E925">
        <v>26.4</v>
      </c>
      <c r="F925">
        <v>11</v>
      </c>
      <c r="G925">
        <v>0</v>
      </c>
      <c r="H925">
        <v>3</v>
      </c>
      <c r="I925">
        <v>2</v>
      </c>
    </row>
    <row r="926" spans="1:9" x14ac:dyDescent="0.25">
      <c r="A926" s="18">
        <v>42565</v>
      </c>
      <c r="B926">
        <v>2.34</v>
      </c>
      <c r="C926">
        <v>2.363</v>
      </c>
      <c r="D926">
        <v>5</v>
      </c>
      <c r="E926">
        <v>12.4</v>
      </c>
      <c r="F926">
        <v>3</v>
      </c>
      <c r="G926">
        <v>0</v>
      </c>
      <c r="H926">
        <v>3</v>
      </c>
      <c r="I926">
        <v>5</v>
      </c>
    </row>
    <row r="927" spans="1:9" x14ac:dyDescent="0.25">
      <c r="A927" s="18">
        <v>42566</v>
      </c>
      <c r="B927">
        <v>3</v>
      </c>
      <c r="C927">
        <v>8</v>
      </c>
      <c r="D927">
        <v>2</v>
      </c>
      <c r="E927">
        <v>15</v>
      </c>
      <c r="F927">
        <v>4</v>
      </c>
      <c r="G927">
        <v>0</v>
      </c>
      <c r="H927">
        <v>0</v>
      </c>
      <c r="I927">
        <v>3.33</v>
      </c>
    </row>
    <row r="928" spans="1:9" x14ac:dyDescent="0.25">
      <c r="A928" s="18">
        <v>42567</v>
      </c>
      <c r="B928">
        <v>9.33</v>
      </c>
      <c r="C928">
        <v>6.7370000000000001</v>
      </c>
      <c r="D928">
        <v>3</v>
      </c>
      <c r="E928">
        <v>23.3</v>
      </c>
      <c r="F928">
        <v>6</v>
      </c>
      <c r="G928">
        <v>0</v>
      </c>
      <c r="H928">
        <v>1</v>
      </c>
      <c r="I928">
        <v>8</v>
      </c>
    </row>
    <row r="929" spans="1:9" x14ac:dyDescent="0.25">
      <c r="A929" s="18">
        <v>42568</v>
      </c>
      <c r="B929">
        <v>9.01</v>
      </c>
      <c r="C929">
        <v>4.01</v>
      </c>
      <c r="D929">
        <v>3</v>
      </c>
      <c r="E929">
        <v>26.65</v>
      </c>
      <c r="F929">
        <v>3</v>
      </c>
      <c r="G929">
        <v>0</v>
      </c>
      <c r="H929">
        <v>7</v>
      </c>
      <c r="I929">
        <v>4</v>
      </c>
    </row>
    <row r="930" spans="1:9" x14ac:dyDescent="0.25">
      <c r="A930" s="18">
        <v>42569</v>
      </c>
      <c r="B930">
        <v>6</v>
      </c>
      <c r="C930">
        <v>2.4969999999999999</v>
      </c>
      <c r="D930">
        <v>8</v>
      </c>
      <c r="E930">
        <v>25.4</v>
      </c>
      <c r="F930">
        <v>2</v>
      </c>
      <c r="G930">
        <v>0</v>
      </c>
      <c r="H930">
        <v>3</v>
      </c>
      <c r="I930">
        <v>4</v>
      </c>
    </row>
    <row r="931" spans="1:9" x14ac:dyDescent="0.25">
      <c r="A931" s="18">
        <v>42570</v>
      </c>
      <c r="B931">
        <v>7.34</v>
      </c>
      <c r="C931">
        <v>1.33</v>
      </c>
      <c r="D931">
        <v>6</v>
      </c>
      <c r="E931">
        <v>19</v>
      </c>
      <c r="F931">
        <v>5</v>
      </c>
      <c r="G931">
        <v>0</v>
      </c>
      <c r="H931">
        <v>1</v>
      </c>
      <c r="I931">
        <v>2</v>
      </c>
    </row>
    <row r="932" spans="1:9" x14ac:dyDescent="0.25">
      <c r="A932" s="18">
        <v>42571</v>
      </c>
      <c r="B932">
        <v>10.33</v>
      </c>
      <c r="C932">
        <v>4.66</v>
      </c>
      <c r="D932">
        <v>7.1</v>
      </c>
      <c r="E932">
        <v>25.2</v>
      </c>
      <c r="F932">
        <v>6</v>
      </c>
      <c r="G932">
        <v>0</v>
      </c>
      <c r="H932">
        <v>5</v>
      </c>
      <c r="I932">
        <v>5</v>
      </c>
    </row>
    <row r="933" spans="1:9" x14ac:dyDescent="0.25">
      <c r="A933" s="18">
        <v>42572</v>
      </c>
      <c r="B933">
        <v>5.66</v>
      </c>
      <c r="C933">
        <v>5.32</v>
      </c>
      <c r="D933">
        <v>4.0999999999999996</v>
      </c>
      <c r="E933">
        <v>17</v>
      </c>
      <c r="F933">
        <v>15</v>
      </c>
      <c r="G933">
        <v>0</v>
      </c>
      <c r="H933">
        <v>1</v>
      </c>
      <c r="I933">
        <v>2</v>
      </c>
    </row>
    <row r="934" spans="1:9" x14ac:dyDescent="0.25">
      <c r="A934" s="18">
        <v>42573</v>
      </c>
      <c r="B934">
        <v>3.33</v>
      </c>
      <c r="C934">
        <v>1.66</v>
      </c>
      <c r="D934">
        <v>7</v>
      </c>
      <c r="E934">
        <v>14</v>
      </c>
      <c r="F934">
        <v>4</v>
      </c>
      <c r="G934">
        <v>0</v>
      </c>
      <c r="H934">
        <v>0</v>
      </c>
      <c r="I934">
        <v>2</v>
      </c>
    </row>
    <row r="935" spans="1:9" x14ac:dyDescent="0.25">
      <c r="A935" s="18">
        <v>42574</v>
      </c>
      <c r="B935">
        <v>4.66</v>
      </c>
      <c r="C935">
        <v>5.49</v>
      </c>
      <c r="D935">
        <v>2.1</v>
      </c>
      <c r="E935">
        <v>15</v>
      </c>
      <c r="F935">
        <v>6</v>
      </c>
      <c r="G935">
        <v>0</v>
      </c>
      <c r="H935">
        <v>0</v>
      </c>
      <c r="I935">
        <v>5</v>
      </c>
    </row>
    <row r="936" spans="1:9" x14ac:dyDescent="0.25">
      <c r="A936" s="18">
        <v>42575</v>
      </c>
      <c r="B936">
        <v>2.33</v>
      </c>
      <c r="C936">
        <v>4.99</v>
      </c>
      <c r="D936">
        <v>4</v>
      </c>
      <c r="E936">
        <v>32</v>
      </c>
      <c r="F936">
        <v>4</v>
      </c>
      <c r="G936">
        <v>0</v>
      </c>
      <c r="H936">
        <v>0</v>
      </c>
      <c r="I936">
        <v>2</v>
      </c>
    </row>
    <row r="937" spans="1:9" x14ac:dyDescent="0.25">
      <c r="A937" s="18">
        <v>42576</v>
      </c>
      <c r="B937">
        <v>13</v>
      </c>
      <c r="C937">
        <v>3.33</v>
      </c>
      <c r="D937">
        <v>7</v>
      </c>
      <c r="E937">
        <v>22</v>
      </c>
      <c r="F937">
        <v>9</v>
      </c>
      <c r="G937">
        <v>0</v>
      </c>
      <c r="H937">
        <v>4</v>
      </c>
      <c r="I937">
        <v>4</v>
      </c>
    </row>
    <row r="938" spans="1:9" x14ac:dyDescent="0.25">
      <c r="A938" s="18">
        <v>42577</v>
      </c>
      <c r="B938">
        <v>8.32</v>
      </c>
      <c r="C938">
        <v>2.66</v>
      </c>
      <c r="D938">
        <v>1</v>
      </c>
      <c r="E938">
        <v>10</v>
      </c>
      <c r="F938">
        <v>16</v>
      </c>
      <c r="G938">
        <v>0</v>
      </c>
      <c r="H938">
        <v>0</v>
      </c>
      <c r="I938">
        <v>2</v>
      </c>
    </row>
    <row r="939" spans="1:9" x14ac:dyDescent="0.25">
      <c r="A939" s="18">
        <v>42578</v>
      </c>
      <c r="B939">
        <v>3</v>
      </c>
      <c r="C939">
        <v>6.33</v>
      </c>
      <c r="D939">
        <v>4.1500000000000004</v>
      </c>
      <c r="E939">
        <v>10</v>
      </c>
      <c r="F939">
        <v>4</v>
      </c>
      <c r="G939">
        <v>1</v>
      </c>
      <c r="H939">
        <v>9</v>
      </c>
      <c r="I939">
        <v>2</v>
      </c>
    </row>
    <row r="940" spans="1:9" x14ac:dyDescent="0.25">
      <c r="A940" s="18">
        <v>42579</v>
      </c>
      <c r="B940">
        <v>9.67</v>
      </c>
      <c r="C940">
        <v>3.99</v>
      </c>
      <c r="D940">
        <v>4</v>
      </c>
      <c r="E940">
        <v>22.5</v>
      </c>
      <c r="F940">
        <v>12</v>
      </c>
      <c r="G940">
        <v>1</v>
      </c>
      <c r="H940">
        <v>5</v>
      </c>
      <c r="I940">
        <v>3</v>
      </c>
    </row>
    <row r="941" spans="1:9" x14ac:dyDescent="0.25">
      <c r="A941" s="18">
        <v>42580</v>
      </c>
      <c r="B941">
        <v>9.99</v>
      </c>
      <c r="C941">
        <v>4.51</v>
      </c>
      <c r="D941">
        <v>6</v>
      </c>
      <c r="E941">
        <v>11</v>
      </c>
      <c r="F941">
        <v>17</v>
      </c>
      <c r="G941">
        <v>1</v>
      </c>
      <c r="H941">
        <v>11</v>
      </c>
      <c r="I941">
        <v>2</v>
      </c>
    </row>
    <row r="942" spans="1:9" x14ac:dyDescent="0.25">
      <c r="A942" s="18">
        <v>42581</v>
      </c>
      <c r="B942">
        <v>6.33</v>
      </c>
      <c r="C942">
        <v>3.99</v>
      </c>
      <c r="D942">
        <v>4</v>
      </c>
      <c r="E942">
        <v>37</v>
      </c>
      <c r="F942">
        <v>7</v>
      </c>
      <c r="G942">
        <v>0</v>
      </c>
      <c r="H942">
        <v>1</v>
      </c>
      <c r="I942">
        <v>6</v>
      </c>
    </row>
    <row r="943" spans="1:9" x14ac:dyDescent="0.25">
      <c r="A943" s="18">
        <v>42582</v>
      </c>
      <c r="B943">
        <v>6</v>
      </c>
      <c r="C943">
        <v>5.01</v>
      </c>
      <c r="D943">
        <v>4.5</v>
      </c>
      <c r="E943">
        <v>22</v>
      </c>
      <c r="F943">
        <v>5</v>
      </c>
      <c r="G943">
        <v>0</v>
      </c>
      <c r="H943">
        <v>0</v>
      </c>
      <c r="I943">
        <v>4</v>
      </c>
    </row>
    <row r="944" spans="1:9" x14ac:dyDescent="0.25">
      <c r="A944" s="18">
        <v>42583</v>
      </c>
      <c r="B944">
        <v>8.33</v>
      </c>
      <c r="C944">
        <v>1.3959999999999999</v>
      </c>
      <c r="D944">
        <v>5</v>
      </c>
      <c r="E944">
        <v>14</v>
      </c>
      <c r="F944">
        <v>7.5</v>
      </c>
      <c r="G944">
        <v>1</v>
      </c>
      <c r="H944">
        <v>1</v>
      </c>
      <c r="I944">
        <v>6</v>
      </c>
    </row>
    <row r="945" spans="1:9" x14ac:dyDescent="0.25">
      <c r="A945" s="18">
        <v>42584</v>
      </c>
      <c r="B945">
        <v>8.33</v>
      </c>
      <c r="C945">
        <v>7</v>
      </c>
      <c r="D945">
        <v>5</v>
      </c>
      <c r="E945">
        <v>12</v>
      </c>
      <c r="F945">
        <v>12</v>
      </c>
      <c r="G945">
        <v>0</v>
      </c>
      <c r="H945">
        <v>1</v>
      </c>
      <c r="I945">
        <v>1</v>
      </c>
    </row>
    <row r="946" spans="1:9" x14ac:dyDescent="0.25">
      <c r="A946" s="18">
        <v>42585</v>
      </c>
      <c r="B946">
        <v>8</v>
      </c>
      <c r="C946">
        <v>2.98</v>
      </c>
      <c r="D946">
        <v>3.5</v>
      </c>
      <c r="E946">
        <v>21</v>
      </c>
      <c r="F946">
        <v>11</v>
      </c>
      <c r="G946">
        <v>0</v>
      </c>
      <c r="H946">
        <v>13</v>
      </c>
      <c r="I946">
        <v>3</v>
      </c>
    </row>
    <row r="947" spans="1:9" x14ac:dyDescent="0.25">
      <c r="A947" s="18">
        <v>42586</v>
      </c>
      <c r="B947">
        <v>8</v>
      </c>
      <c r="C947">
        <v>2.6930000000000001</v>
      </c>
      <c r="D947">
        <v>2</v>
      </c>
      <c r="E947">
        <v>34.4</v>
      </c>
      <c r="F947">
        <v>12</v>
      </c>
      <c r="G947">
        <v>0</v>
      </c>
      <c r="H947">
        <v>17</v>
      </c>
      <c r="I947">
        <v>4</v>
      </c>
    </row>
    <row r="948" spans="1:9" x14ac:dyDescent="0.25">
      <c r="A948" s="18">
        <v>42587</v>
      </c>
      <c r="B948">
        <v>10.33</v>
      </c>
      <c r="C948">
        <v>3.42</v>
      </c>
      <c r="D948">
        <v>3.7</v>
      </c>
      <c r="E948">
        <v>21</v>
      </c>
      <c r="F948">
        <v>24</v>
      </c>
      <c r="G948">
        <v>0</v>
      </c>
      <c r="H948">
        <v>24</v>
      </c>
      <c r="I948">
        <v>1.3</v>
      </c>
    </row>
    <row r="949" spans="1:9" x14ac:dyDescent="0.25">
      <c r="A949" s="18">
        <v>42588</v>
      </c>
      <c r="B949">
        <v>3</v>
      </c>
      <c r="C949">
        <v>3.6619999999999999</v>
      </c>
      <c r="D949">
        <v>5</v>
      </c>
      <c r="E949">
        <v>20</v>
      </c>
      <c r="F949">
        <v>33</v>
      </c>
      <c r="G949">
        <v>0</v>
      </c>
      <c r="H949">
        <v>1</v>
      </c>
      <c r="I949">
        <v>2</v>
      </c>
    </row>
    <row r="950" spans="1:9" x14ac:dyDescent="0.25">
      <c r="A950" s="18">
        <v>42589</v>
      </c>
      <c r="B950">
        <v>8</v>
      </c>
      <c r="C950">
        <v>4.1550000000000002</v>
      </c>
      <c r="D950">
        <v>8.1999999999999993</v>
      </c>
      <c r="E950">
        <v>40.200000000000003</v>
      </c>
      <c r="F950">
        <v>12</v>
      </c>
      <c r="G950">
        <v>0</v>
      </c>
      <c r="H950">
        <v>5</v>
      </c>
      <c r="I950">
        <v>3</v>
      </c>
    </row>
    <row r="951" spans="1:9" x14ac:dyDescent="0.25">
      <c r="A951" s="18">
        <v>42590</v>
      </c>
      <c r="B951">
        <v>8.34</v>
      </c>
      <c r="C951">
        <v>5.99</v>
      </c>
      <c r="D951">
        <v>5.5</v>
      </c>
      <c r="E951">
        <v>15</v>
      </c>
      <c r="F951">
        <v>36</v>
      </c>
      <c r="G951">
        <v>0</v>
      </c>
      <c r="H951">
        <v>1</v>
      </c>
      <c r="I951">
        <v>4</v>
      </c>
    </row>
    <row r="952" spans="1:9" x14ac:dyDescent="0.25">
      <c r="A952" s="18">
        <v>42591</v>
      </c>
      <c r="B952">
        <v>6.33</v>
      </c>
      <c r="C952">
        <v>4.66</v>
      </c>
      <c r="D952">
        <v>7</v>
      </c>
      <c r="E952">
        <v>29</v>
      </c>
      <c r="F952">
        <v>26</v>
      </c>
      <c r="G952">
        <v>1</v>
      </c>
      <c r="H952">
        <v>2</v>
      </c>
      <c r="I952">
        <v>4</v>
      </c>
    </row>
    <row r="953" spans="1:9" x14ac:dyDescent="0.25">
      <c r="A953" s="18">
        <v>42592</v>
      </c>
      <c r="B953">
        <v>11.34</v>
      </c>
      <c r="C953">
        <v>2.99</v>
      </c>
      <c r="D953">
        <v>7</v>
      </c>
      <c r="E953">
        <v>24.1</v>
      </c>
      <c r="F953">
        <v>11</v>
      </c>
      <c r="G953">
        <v>0</v>
      </c>
      <c r="H953">
        <v>3</v>
      </c>
      <c r="I953">
        <v>2</v>
      </c>
    </row>
    <row r="954" spans="1:9" x14ac:dyDescent="0.25">
      <c r="A954" s="18">
        <v>42593</v>
      </c>
      <c r="B954">
        <v>5.67</v>
      </c>
      <c r="C954">
        <v>3.66</v>
      </c>
      <c r="D954">
        <v>0</v>
      </c>
      <c r="E954">
        <v>25</v>
      </c>
      <c r="F954">
        <v>1</v>
      </c>
      <c r="G954">
        <v>0</v>
      </c>
      <c r="H954">
        <v>0</v>
      </c>
      <c r="I954">
        <v>2</v>
      </c>
    </row>
    <row r="955" spans="1:9" x14ac:dyDescent="0.25">
      <c r="A955" s="18">
        <v>42594</v>
      </c>
      <c r="B955">
        <v>8.66</v>
      </c>
      <c r="C955">
        <v>5.66</v>
      </c>
      <c r="D955">
        <v>6.1</v>
      </c>
      <c r="E955">
        <v>27.6</v>
      </c>
      <c r="F955">
        <v>6</v>
      </c>
      <c r="G955">
        <v>4</v>
      </c>
      <c r="H955">
        <v>0</v>
      </c>
      <c r="I955">
        <v>2</v>
      </c>
    </row>
    <row r="956" spans="1:9" x14ac:dyDescent="0.25">
      <c r="A956" s="18">
        <v>42595</v>
      </c>
      <c r="B956">
        <v>8</v>
      </c>
      <c r="C956">
        <v>6.7370000000000001</v>
      </c>
      <c r="D956">
        <v>5</v>
      </c>
      <c r="E956">
        <v>32</v>
      </c>
      <c r="F956">
        <v>2</v>
      </c>
      <c r="G956">
        <v>0</v>
      </c>
      <c r="H956">
        <v>0</v>
      </c>
      <c r="I956">
        <v>5</v>
      </c>
    </row>
    <row r="957" spans="1:9" x14ac:dyDescent="0.25">
      <c r="A957" s="18">
        <v>42596</v>
      </c>
      <c r="B957">
        <v>5</v>
      </c>
      <c r="C957">
        <v>4.8570000000000002</v>
      </c>
      <c r="D957">
        <v>4.5</v>
      </c>
      <c r="E957">
        <v>18.216666669999999</v>
      </c>
      <c r="F957">
        <v>2</v>
      </c>
      <c r="G957">
        <v>0</v>
      </c>
      <c r="H957">
        <v>7</v>
      </c>
      <c r="I957">
        <v>0</v>
      </c>
    </row>
    <row r="958" spans="1:9" x14ac:dyDescent="0.25">
      <c r="A958" s="18">
        <v>42597</v>
      </c>
      <c r="B958">
        <v>5</v>
      </c>
      <c r="C958">
        <v>2.33</v>
      </c>
      <c r="D958">
        <v>2</v>
      </c>
      <c r="E958">
        <v>21</v>
      </c>
      <c r="F958">
        <v>11</v>
      </c>
      <c r="G958">
        <v>0</v>
      </c>
      <c r="H958">
        <v>0</v>
      </c>
      <c r="I958">
        <v>2</v>
      </c>
    </row>
    <row r="959" spans="1:9" x14ac:dyDescent="0.25">
      <c r="A959" s="18">
        <v>42598</v>
      </c>
      <c r="B959">
        <v>10</v>
      </c>
      <c r="C959">
        <v>4.66</v>
      </c>
      <c r="D959">
        <v>3</v>
      </c>
      <c r="E959">
        <v>14.45</v>
      </c>
      <c r="F959">
        <v>4</v>
      </c>
      <c r="G959">
        <v>0</v>
      </c>
      <c r="H959">
        <v>11</v>
      </c>
      <c r="I959">
        <v>3.5</v>
      </c>
    </row>
    <row r="960" spans="1:9" x14ac:dyDescent="0.25">
      <c r="A960" s="18">
        <v>42599</v>
      </c>
      <c r="B960">
        <v>8.66</v>
      </c>
      <c r="C960">
        <v>2.0099999999999998</v>
      </c>
      <c r="D960">
        <v>4</v>
      </c>
      <c r="E960">
        <v>9.5</v>
      </c>
      <c r="F960">
        <v>7</v>
      </c>
      <c r="G960">
        <v>0</v>
      </c>
      <c r="H960">
        <v>5</v>
      </c>
      <c r="I960">
        <v>5</v>
      </c>
    </row>
    <row r="961" spans="1:9" x14ac:dyDescent="0.25">
      <c r="A961" s="18">
        <v>42600</v>
      </c>
      <c r="B961">
        <v>6.99</v>
      </c>
      <c r="C961">
        <v>3.363</v>
      </c>
      <c r="D961">
        <v>4</v>
      </c>
      <c r="E961">
        <v>25.6</v>
      </c>
      <c r="F961">
        <v>7</v>
      </c>
      <c r="G961">
        <v>0</v>
      </c>
      <c r="H961">
        <v>0</v>
      </c>
      <c r="I961">
        <v>1</v>
      </c>
    </row>
    <row r="962" spans="1:9" x14ac:dyDescent="0.25">
      <c r="A962" s="18">
        <v>42601</v>
      </c>
      <c r="B962">
        <v>1</v>
      </c>
      <c r="C962">
        <v>4.33</v>
      </c>
      <c r="D962">
        <v>0.6</v>
      </c>
      <c r="E962">
        <v>27</v>
      </c>
      <c r="F962">
        <v>12</v>
      </c>
      <c r="G962">
        <v>0</v>
      </c>
      <c r="H962">
        <v>0</v>
      </c>
      <c r="I962">
        <v>4</v>
      </c>
    </row>
    <row r="963" spans="1:9" x14ac:dyDescent="0.25">
      <c r="A963" s="18">
        <v>42602</v>
      </c>
      <c r="B963">
        <v>4.33</v>
      </c>
      <c r="C963">
        <v>2.99</v>
      </c>
      <c r="D963">
        <v>6</v>
      </c>
      <c r="E963">
        <v>26.2</v>
      </c>
      <c r="F963">
        <v>1</v>
      </c>
      <c r="G963">
        <v>0</v>
      </c>
      <c r="H963">
        <v>0</v>
      </c>
      <c r="I963">
        <v>6</v>
      </c>
    </row>
    <row r="964" spans="1:9" x14ac:dyDescent="0.25">
      <c r="A964" s="18">
        <v>42603</v>
      </c>
      <c r="B964">
        <v>8</v>
      </c>
      <c r="C964">
        <v>3.6269999999999998</v>
      </c>
      <c r="D964">
        <v>7.4</v>
      </c>
      <c r="E964">
        <v>39</v>
      </c>
      <c r="F964">
        <v>3</v>
      </c>
      <c r="G964">
        <v>4</v>
      </c>
      <c r="H964">
        <v>1</v>
      </c>
      <c r="I964">
        <v>1</v>
      </c>
    </row>
    <row r="965" spans="1:9" x14ac:dyDescent="0.25">
      <c r="A965" s="18">
        <v>42604</v>
      </c>
      <c r="B965">
        <v>3.34</v>
      </c>
      <c r="C965">
        <v>3.3860000000000001</v>
      </c>
      <c r="D965">
        <v>0</v>
      </c>
      <c r="E965">
        <v>23.2</v>
      </c>
      <c r="F965">
        <v>3</v>
      </c>
      <c r="G965">
        <v>0</v>
      </c>
      <c r="H965">
        <v>0</v>
      </c>
      <c r="I965">
        <v>6</v>
      </c>
    </row>
    <row r="966" spans="1:9" x14ac:dyDescent="0.25">
      <c r="A966" s="18">
        <v>42605</v>
      </c>
      <c r="B966">
        <v>3</v>
      </c>
      <c r="C966">
        <v>3.0659999999999998</v>
      </c>
      <c r="D966">
        <v>4</v>
      </c>
      <c r="E966">
        <v>14.7</v>
      </c>
      <c r="F966">
        <v>7</v>
      </c>
      <c r="G966">
        <v>1</v>
      </c>
      <c r="H966">
        <v>0</v>
      </c>
      <c r="I966">
        <v>1.2</v>
      </c>
    </row>
    <row r="967" spans="1:9" x14ac:dyDescent="0.25">
      <c r="A967" s="18">
        <v>42606</v>
      </c>
      <c r="B967">
        <v>9.33</v>
      </c>
      <c r="C967">
        <v>3.4870000000000001</v>
      </c>
      <c r="D967">
        <v>8</v>
      </c>
      <c r="E967">
        <v>11.3</v>
      </c>
      <c r="F967">
        <v>2</v>
      </c>
      <c r="G967">
        <v>0</v>
      </c>
      <c r="H967">
        <v>0</v>
      </c>
      <c r="I967">
        <v>3</v>
      </c>
    </row>
    <row r="968" spans="1:9" x14ac:dyDescent="0.25">
      <c r="A968" s="18">
        <v>42607</v>
      </c>
      <c r="B968">
        <v>4.33</v>
      </c>
      <c r="C968">
        <v>2.67</v>
      </c>
      <c r="D968">
        <v>8</v>
      </c>
      <c r="E968">
        <v>19.399999999999999</v>
      </c>
      <c r="F968">
        <v>4</v>
      </c>
      <c r="G968">
        <v>1</v>
      </c>
      <c r="H968">
        <v>4</v>
      </c>
      <c r="I968">
        <v>5</v>
      </c>
    </row>
    <row r="969" spans="1:9" x14ac:dyDescent="0.25">
      <c r="A969" s="18">
        <v>42608</v>
      </c>
      <c r="B969">
        <v>4</v>
      </c>
      <c r="C969">
        <v>2.0230000000000001</v>
      </c>
      <c r="D969">
        <v>2</v>
      </c>
      <c r="E969">
        <v>20.7</v>
      </c>
      <c r="F969">
        <v>3</v>
      </c>
      <c r="G969">
        <v>0</v>
      </c>
      <c r="H969">
        <v>0</v>
      </c>
      <c r="I969">
        <v>0</v>
      </c>
    </row>
    <row r="970" spans="1:9" x14ac:dyDescent="0.25">
      <c r="A970" s="18">
        <v>42609</v>
      </c>
      <c r="B970">
        <v>8.83</v>
      </c>
      <c r="C970">
        <v>1.736</v>
      </c>
      <c r="D970">
        <v>1</v>
      </c>
      <c r="E970">
        <v>17.516666669999999</v>
      </c>
      <c r="F970">
        <v>2</v>
      </c>
      <c r="G970">
        <v>0</v>
      </c>
      <c r="H970">
        <v>11</v>
      </c>
      <c r="I970">
        <v>0</v>
      </c>
    </row>
    <row r="971" spans="1:9" x14ac:dyDescent="0.25">
      <c r="A971" s="18">
        <v>42610</v>
      </c>
      <c r="B971">
        <v>7.33</v>
      </c>
      <c r="C971">
        <v>7.02</v>
      </c>
      <c r="D971">
        <v>6.2</v>
      </c>
      <c r="E971">
        <v>37</v>
      </c>
      <c r="F971">
        <v>3</v>
      </c>
      <c r="G971">
        <v>0</v>
      </c>
      <c r="H971">
        <v>6</v>
      </c>
      <c r="I971">
        <v>2</v>
      </c>
    </row>
    <row r="972" spans="1:9" x14ac:dyDescent="0.25">
      <c r="A972" s="18">
        <v>42611</v>
      </c>
      <c r="B972">
        <v>9</v>
      </c>
      <c r="C972">
        <v>0.67</v>
      </c>
      <c r="D972">
        <v>2</v>
      </c>
      <c r="E972">
        <v>14.2</v>
      </c>
      <c r="F972">
        <v>4</v>
      </c>
      <c r="G972">
        <v>0</v>
      </c>
      <c r="H972">
        <v>1</v>
      </c>
      <c r="I972">
        <v>1.3</v>
      </c>
    </row>
    <row r="973" spans="1:9" x14ac:dyDescent="0.25">
      <c r="A973" s="18">
        <v>42612</v>
      </c>
      <c r="B973">
        <v>4.66</v>
      </c>
      <c r="C973">
        <v>1.32</v>
      </c>
      <c r="D973">
        <v>2</v>
      </c>
      <c r="E973">
        <v>8.9</v>
      </c>
      <c r="F973">
        <v>4</v>
      </c>
      <c r="G973">
        <v>0</v>
      </c>
      <c r="H973">
        <v>1</v>
      </c>
      <c r="I973">
        <v>0</v>
      </c>
    </row>
    <row r="974" spans="1:9" x14ac:dyDescent="0.25">
      <c r="A974" s="18">
        <v>42613</v>
      </c>
      <c r="B974">
        <v>6</v>
      </c>
      <c r="C974">
        <v>5.827</v>
      </c>
      <c r="D974">
        <v>5</v>
      </c>
      <c r="E974">
        <v>23.2</v>
      </c>
      <c r="F974">
        <v>3</v>
      </c>
      <c r="G974">
        <v>0</v>
      </c>
      <c r="H974">
        <v>1</v>
      </c>
      <c r="I974">
        <v>5</v>
      </c>
    </row>
    <row r="975" spans="1:9" x14ac:dyDescent="0.25">
      <c r="A975" s="18">
        <v>42614</v>
      </c>
      <c r="B975">
        <v>5</v>
      </c>
      <c r="C975">
        <v>3.66</v>
      </c>
      <c r="D975">
        <v>5</v>
      </c>
      <c r="E975">
        <v>31.4</v>
      </c>
      <c r="F975">
        <v>2</v>
      </c>
      <c r="G975">
        <v>0</v>
      </c>
      <c r="H975">
        <v>0</v>
      </c>
      <c r="I975">
        <v>3</v>
      </c>
    </row>
    <row r="976" spans="1:9" x14ac:dyDescent="0.25">
      <c r="A976" s="18">
        <v>42615</v>
      </c>
      <c r="B976">
        <v>9.34</v>
      </c>
      <c r="C976">
        <v>4.0199999999999996</v>
      </c>
      <c r="D976">
        <v>5</v>
      </c>
      <c r="E976">
        <v>10</v>
      </c>
      <c r="F976">
        <v>25</v>
      </c>
      <c r="G976">
        <v>0</v>
      </c>
      <c r="H976">
        <v>5</v>
      </c>
      <c r="I976">
        <v>2</v>
      </c>
    </row>
    <row r="977" spans="1:9" x14ac:dyDescent="0.25">
      <c r="A977" s="18">
        <v>42616</v>
      </c>
      <c r="B977">
        <v>5.33</v>
      </c>
      <c r="C977">
        <v>4.0250000000000004</v>
      </c>
      <c r="D977">
        <v>6.5</v>
      </c>
      <c r="E977">
        <v>54.2</v>
      </c>
      <c r="F977">
        <v>5</v>
      </c>
      <c r="G977">
        <v>0</v>
      </c>
      <c r="H977">
        <v>4</v>
      </c>
      <c r="I977">
        <v>4</v>
      </c>
    </row>
    <row r="978" spans="1:9" x14ac:dyDescent="0.25">
      <c r="A978" s="18">
        <v>42617</v>
      </c>
      <c r="B978">
        <v>8.33</v>
      </c>
      <c r="C978">
        <v>4.3959999999999999</v>
      </c>
      <c r="D978">
        <v>0</v>
      </c>
      <c r="E978">
        <v>30.9</v>
      </c>
      <c r="F978">
        <v>10</v>
      </c>
      <c r="G978">
        <v>0</v>
      </c>
      <c r="H978">
        <v>4</v>
      </c>
      <c r="I978">
        <v>5</v>
      </c>
    </row>
    <row r="979" spans="1:9" x14ac:dyDescent="0.25">
      <c r="A979" s="18">
        <v>42618</v>
      </c>
      <c r="B979">
        <v>3.32</v>
      </c>
      <c r="C979">
        <v>4.3959999999999999</v>
      </c>
      <c r="D979">
        <v>2</v>
      </c>
      <c r="E979">
        <v>34.299999999999997</v>
      </c>
      <c r="F979">
        <v>8</v>
      </c>
      <c r="G979">
        <v>2</v>
      </c>
      <c r="H979">
        <v>2</v>
      </c>
      <c r="I979">
        <v>4</v>
      </c>
    </row>
    <row r="980" spans="1:9" x14ac:dyDescent="0.25">
      <c r="A980" s="18">
        <v>42619</v>
      </c>
      <c r="B980">
        <v>5</v>
      </c>
      <c r="C980">
        <v>1.33</v>
      </c>
      <c r="D980">
        <v>1</v>
      </c>
      <c r="E980">
        <v>32.799999999999997</v>
      </c>
      <c r="F980">
        <v>14</v>
      </c>
      <c r="G980">
        <v>3</v>
      </c>
      <c r="H980">
        <v>0</v>
      </c>
      <c r="I980">
        <v>3</v>
      </c>
    </row>
    <row r="981" spans="1:9" x14ac:dyDescent="0.25">
      <c r="A981" s="18">
        <v>42620</v>
      </c>
      <c r="B981">
        <v>2.33</v>
      </c>
      <c r="C981">
        <v>2.19</v>
      </c>
      <c r="D981">
        <v>3</v>
      </c>
      <c r="E981">
        <v>37.6</v>
      </c>
      <c r="F981">
        <v>14</v>
      </c>
      <c r="G981">
        <v>0</v>
      </c>
      <c r="H981">
        <v>0</v>
      </c>
      <c r="I981">
        <v>3</v>
      </c>
    </row>
    <row r="982" spans="1:9" x14ac:dyDescent="0.25">
      <c r="A982" s="18">
        <v>42621</v>
      </c>
      <c r="B982">
        <v>6</v>
      </c>
      <c r="C982">
        <v>2.99</v>
      </c>
      <c r="D982">
        <v>4</v>
      </c>
      <c r="E982">
        <v>33</v>
      </c>
      <c r="F982">
        <v>8</v>
      </c>
      <c r="G982">
        <v>1</v>
      </c>
      <c r="H982">
        <v>0</v>
      </c>
      <c r="I982">
        <v>0</v>
      </c>
    </row>
    <row r="983" spans="1:9" x14ac:dyDescent="0.25">
      <c r="A983" s="18">
        <v>42622</v>
      </c>
      <c r="B983">
        <v>4.99</v>
      </c>
      <c r="C983">
        <v>3.99</v>
      </c>
      <c r="D983">
        <v>3.25</v>
      </c>
      <c r="E983">
        <v>26.123999999999999</v>
      </c>
      <c r="F983">
        <v>11</v>
      </c>
      <c r="G983">
        <v>2</v>
      </c>
      <c r="H983">
        <v>10</v>
      </c>
      <c r="I983">
        <v>3</v>
      </c>
    </row>
    <row r="984" spans="1:9" x14ac:dyDescent="0.25">
      <c r="A984" s="18">
        <v>42623</v>
      </c>
      <c r="B984">
        <v>8.33</v>
      </c>
      <c r="C984">
        <v>11.31</v>
      </c>
      <c r="D984">
        <v>10</v>
      </c>
      <c r="E984">
        <v>34</v>
      </c>
      <c r="F984">
        <v>9</v>
      </c>
      <c r="G984">
        <v>0</v>
      </c>
      <c r="H984">
        <v>4</v>
      </c>
      <c r="I984">
        <v>3</v>
      </c>
    </row>
    <row r="985" spans="1:9" x14ac:dyDescent="0.25">
      <c r="A985" s="18">
        <v>42624</v>
      </c>
      <c r="B985">
        <v>2.66</v>
      </c>
      <c r="C985">
        <v>6.99</v>
      </c>
      <c r="D985">
        <v>7.1</v>
      </c>
      <c r="E985">
        <v>57.2</v>
      </c>
      <c r="F985">
        <v>8</v>
      </c>
      <c r="G985">
        <v>0</v>
      </c>
      <c r="H985">
        <v>10</v>
      </c>
      <c r="I985">
        <v>4</v>
      </c>
    </row>
    <row r="986" spans="1:9" x14ac:dyDescent="0.25">
      <c r="A986" s="18">
        <v>42625</v>
      </c>
      <c r="B986">
        <v>7</v>
      </c>
      <c r="C986">
        <v>6</v>
      </c>
      <c r="D986">
        <v>4</v>
      </c>
      <c r="E986">
        <v>24</v>
      </c>
      <c r="F986">
        <v>10</v>
      </c>
      <c r="G986">
        <v>0</v>
      </c>
      <c r="H986">
        <v>8</v>
      </c>
      <c r="I986">
        <v>4</v>
      </c>
    </row>
    <row r="987" spans="1:9" x14ac:dyDescent="0.25">
      <c r="A987" s="18">
        <v>42626</v>
      </c>
      <c r="B987">
        <v>7</v>
      </c>
      <c r="C987">
        <v>5.7590000000000003</v>
      </c>
      <c r="D987">
        <v>4</v>
      </c>
      <c r="E987">
        <v>32</v>
      </c>
      <c r="F987">
        <v>13</v>
      </c>
      <c r="G987">
        <v>0</v>
      </c>
      <c r="H987">
        <v>2</v>
      </c>
      <c r="I987">
        <v>0</v>
      </c>
    </row>
    <row r="988" spans="1:9" x14ac:dyDescent="0.25">
      <c r="A988" s="18">
        <v>42627</v>
      </c>
      <c r="B988">
        <v>6</v>
      </c>
      <c r="C988">
        <v>3.7919999999999998</v>
      </c>
      <c r="D988">
        <v>2.5</v>
      </c>
      <c r="E988">
        <v>24.4</v>
      </c>
      <c r="F988">
        <v>7</v>
      </c>
      <c r="G988">
        <v>0</v>
      </c>
      <c r="H988">
        <v>8</v>
      </c>
      <c r="I988">
        <v>2</v>
      </c>
    </row>
    <row r="989" spans="1:9" x14ac:dyDescent="0.25">
      <c r="A989" s="18">
        <v>42628</v>
      </c>
      <c r="B989">
        <v>3</v>
      </c>
      <c r="C989">
        <v>6.6280000000000001</v>
      </c>
      <c r="D989">
        <v>2</v>
      </c>
      <c r="E989">
        <v>38</v>
      </c>
      <c r="F989">
        <v>31</v>
      </c>
      <c r="G989">
        <v>0</v>
      </c>
      <c r="H989">
        <v>3</v>
      </c>
      <c r="I989">
        <v>1</v>
      </c>
    </row>
    <row r="990" spans="1:9" x14ac:dyDescent="0.25">
      <c r="A990" s="18">
        <v>42629</v>
      </c>
      <c r="B990">
        <v>2</v>
      </c>
      <c r="C990">
        <v>1.33</v>
      </c>
      <c r="D990">
        <v>4</v>
      </c>
      <c r="E990">
        <v>26.3</v>
      </c>
      <c r="F990">
        <v>17</v>
      </c>
      <c r="G990">
        <v>0</v>
      </c>
      <c r="H990">
        <v>3</v>
      </c>
      <c r="I990">
        <v>0</v>
      </c>
    </row>
    <row r="991" spans="1:9" x14ac:dyDescent="0.25">
      <c r="A991" s="18">
        <v>42630</v>
      </c>
      <c r="B991">
        <v>6.67</v>
      </c>
      <c r="C991">
        <v>3.6930000000000001</v>
      </c>
      <c r="D991">
        <v>2.4</v>
      </c>
      <c r="E991">
        <v>56</v>
      </c>
      <c r="F991">
        <v>11</v>
      </c>
      <c r="G991">
        <v>0</v>
      </c>
      <c r="H991">
        <v>5</v>
      </c>
      <c r="I991">
        <v>4.0999999999999996</v>
      </c>
    </row>
    <row r="992" spans="1:9" x14ac:dyDescent="0.25">
      <c r="A992" s="18">
        <v>42631</v>
      </c>
      <c r="B992">
        <v>5.99</v>
      </c>
      <c r="C992">
        <v>7.32</v>
      </c>
      <c r="D992">
        <v>2</v>
      </c>
      <c r="E992">
        <v>24.45</v>
      </c>
      <c r="F992">
        <v>4</v>
      </c>
      <c r="G992">
        <v>0</v>
      </c>
      <c r="H992">
        <v>8</v>
      </c>
      <c r="I992">
        <v>1</v>
      </c>
    </row>
    <row r="993" spans="1:9" x14ac:dyDescent="0.25">
      <c r="A993" s="18">
        <v>42632</v>
      </c>
      <c r="B993">
        <v>4</v>
      </c>
      <c r="C993">
        <v>3.3959999999999999</v>
      </c>
      <c r="D993">
        <v>2.15</v>
      </c>
      <c r="E993">
        <v>31</v>
      </c>
      <c r="F993">
        <v>11</v>
      </c>
      <c r="G993">
        <v>2</v>
      </c>
      <c r="H993">
        <v>0</v>
      </c>
      <c r="I993">
        <v>1</v>
      </c>
    </row>
    <row r="994" spans="1:9" x14ac:dyDescent="0.25">
      <c r="A994" s="18">
        <v>42633</v>
      </c>
      <c r="B994">
        <v>4.67</v>
      </c>
      <c r="C994">
        <v>2.7919999999999998</v>
      </c>
      <c r="D994">
        <v>3</v>
      </c>
      <c r="E994">
        <v>33.4</v>
      </c>
      <c r="F994">
        <v>14</v>
      </c>
      <c r="G994">
        <v>0</v>
      </c>
      <c r="H994">
        <v>4</v>
      </c>
      <c r="I994">
        <v>1</v>
      </c>
    </row>
    <row r="995" spans="1:9" x14ac:dyDescent="0.25">
      <c r="A995" s="18">
        <v>42634</v>
      </c>
      <c r="B995">
        <v>8.34</v>
      </c>
      <c r="C995">
        <v>4.3099999999999996</v>
      </c>
      <c r="D995">
        <v>3.05</v>
      </c>
      <c r="E995">
        <v>19.7</v>
      </c>
      <c r="F995">
        <v>12</v>
      </c>
      <c r="G995">
        <v>0</v>
      </c>
      <c r="H995">
        <v>3</v>
      </c>
      <c r="I995">
        <v>2</v>
      </c>
    </row>
    <row r="996" spans="1:9" x14ac:dyDescent="0.25">
      <c r="A996" s="18">
        <v>42635</v>
      </c>
      <c r="B996">
        <v>6.33</v>
      </c>
      <c r="C996">
        <v>2.33</v>
      </c>
      <c r="D996">
        <v>2.1</v>
      </c>
      <c r="E996">
        <v>29.4</v>
      </c>
      <c r="F996">
        <v>6</v>
      </c>
      <c r="G996">
        <v>0</v>
      </c>
      <c r="H996">
        <v>4</v>
      </c>
      <c r="I996">
        <v>3</v>
      </c>
    </row>
    <row r="997" spans="1:9" x14ac:dyDescent="0.25">
      <c r="A997" s="18">
        <v>42636</v>
      </c>
      <c r="B997">
        <v>2.33</v>
      </c>
      <c r="C997">
        <v>6.99</v>
      </c>
      <c r="D997">
        <v>6</v>
      </c>
      <c r="E997">
        <v>28.4</v>
      </c>
      <c r="F997">
        <v>13</v>
      </c>
      <c r="G997">
        <v>3</v>
      </c>
      <c r="H997">
        <v>7</v>
      </c>
      <c r="I997">
        <v>1</v>
      </c>
    </row>
    <row r="998" spans="1:9" x14ac:dyDescent="0.25">
      <c r="A998" s="18">
        <v>42637</v>
      </c>
      <c r="B998">
        <v>2</v>
      </c>
      <c r="C998">
        <v>3.7789999999999999</v>
      </c>
      <c r="D998">
        <v>6.2</v>
      </c>
      <c r="E998">
        <v>61.2</v>
      </c>
      <c r="F998">
        <v>8</v>
      </c>
      <c r="G998">
        <v>0</v>
      </c>
      <c r="H998">
        <v>1</v>
      </c>
      <c r="I998">
        <v>1</v>
      </c>
    </row>
    <row r="999" spans="1:9" x14ac:dyDescent="0.25">
      <c r="A999" s="18">
        <v>42638</v>
      </c>
      <c r="B999">
        <v>6</v>
      </c>
      <c r="C999">
        <v>4.33</v>
      </c>
      <c r="D999">
        <v>3</v>
      </c>
      <c r="E999">
        <v>61.125</v>
      </c>
      <c r="F999">
        <v>3</v>
      </c>
      <c r="G999">
        <v>0</v>
      </c>
      <c r="H999">
        <v>10</v>
      </c>
      <c r="I999">
        <v>2</v>
      </c>
    </row>
    <row r="1000" spans="1:9" x14ac:dyDescent="0.25">
      <c r="A1000" s="18">
        <v>42639</v>
      </c>
      <c r="B1000">
        <v>5.99</v>
      </c>
      <c r="C1000">
        <v>1</v>
      </c>
      <c r="D1000">
        <v>4</v>
      </c>
      <c r="E1000">
        <v>57.6</v>
      </c>
      <c r="F1000">
        <v>4</v>
      </c>
      <c r="G1000">
        <v>2</v>
      </c>
      <c r="H1000">
        <v>4</v>
      </c>
      <c r="I1000">
        <v>1</v>
      </c>
    </row>
    <row r="1001" spans="1:9" x14ac:dyDescent="0.25">
      <c r="A1001" s="18">
        <v>42640</v>
      </c>
      <c r="B1001">
        <v>7</v>
      </c>
      <c r="C1001">
        <v>4.67</v>
      </c>
      <c r="D1001">
        <v>7.4</v>
      </c>
      <c r="E1001">
        <v>51.7</v>
      </c>
      <c r="F1001">
        <v>17</v>
      </c>
      <c r="G1001">
        <v>3</v>
      </c>
      <c r="H1001">
        <v>1</v>
      </c>
      <c r="I1001">
        <v>3</v>
      </c>
    </row>
    <row r="1002" spans="1:9" x14ac:dyDescent="0.25">
      <c r="A1002" s="18">
        <v>42641</v>
      </c>
      <c r="B1002">
        <v>13.68</v>
      </c>
      <c r="C1002">
        <v>1.802</v>
      </c>
      <c r="D1002">
        <v>5.45</v>
      </c>
      <c r="E1002">
        <v>64.5</v>
      </c>
      <c r="F1002">
        <v>3</v>
      </c>
      <c r="G1002">
        <v>0</v>
      </c>
      <c r="H1002">
        <v>0</v>
      </c>
      <c r="I1002">
        <v>4</v>
      </c>
    </row>
    <row r="1003" spans="1:9" x14ac:dyDescent="0.25">
      <c r="A1003" s="18">
        <v>42642</v>
      </c>
      <c r="B1003">
        <v>7.33</v>
      </c>
      <c r="C1003">
        <v>2</v>
      </c>
      <c r="D1003">
        <v>4</v>
      </c>
      <c r="E1003">
        <v>50.6</v>
      </c>
      <c r="F1003">
        <v>4</v>
      </c>
      <c r="G1003">
        <v>0</v>
      </c>
      <c r="H1003">
        <v>1</v>
      </c>
      <c r="I1003">
        <v>1.2</v>
      </c>
    </row>
    <row r="1004" spans="1:9" x14ac:dyDescent="0.25">
      <c r="A1004" s="18">
        <v>42643</v>
      </c>
      <c r="B1004">
        <v>7</v>
      </c>
      <c r="C1004">
        <v>5</v>
      </c>
      <c r="D1004">
        <v>2.6</v>
      </c>
      <c r="E1004">
        <v>23.4</v>
      </c>
      <c r="F1004">
        <v>5</v>
      </c>
      <c r="G1004">
        <v>0</v>
      </c>
      <c r="H1004">
        <v>10</v>
      </c>
      <c r="I1004">
        <v>3</v>
      </c>
    </row>
    <row r="1005" spans="1:9" x14ac:dyDescent="0.25">
      <c r="A1005" s="18">
        <v>42644</v>
      </c>
      <c r="B1005">
        <v>7.33</v>
      </c>
      <c r="C1005">
        <v>7.65</v>
      </c>
      <c r="D1005">
        <v>1.2</v>
      </c>
      <c r="E1005">
        <v>54.037999999999997</v>
      </c>
      <c r="F1005">
        <v>5</v>
      </c>
      <c r="G1005">
        <v>0</v>
      </c>
      <c r="H1005">
        <v>4</v>
      </c>
      <c r="I1005">
        <v>2</v>
      </c>
    </row>
    <row r="1006" spans="1:9" x14ac:dyDescent="0.25">
      <c r="A1006" s="18">
        <v>42645</v>
      </c>
      <c r="B1006">
        <v>17</v>
      </c>
      <c r="C1006">
        <v>4.056</v>
      </c>
      <c r="D1006">
        <v>9.6999999999999993</v>
      </c>
      <c r="E1006">
        <v>80.5</v>
      </c>
      <c r="F1006">
        <v>6</v>
      </c>
      <c r="G1006">
        <v>0</v>
      </c>
      <c r="H1006">
        <v>18</v>
      </c>
      <c r="I1006">
        <v>3</v>
      </c>
    </row>
    <row r="1007" spans="1:9" x14ac:dyDescent="0.25">
      <c r="A1007" s="18">
        <v>42646</v>
      </c>
      <c r="B1007">
        <v>3.33</v>
      </c>
      <c r="C1007">
        <v>5.33</v>
      </c>
      <c r="D1007">
        <v>3</v>
      </c>
      <c r="E1007">
        <v>59.661999999999999</v>
      </c>
      <c r="F1007">
        <v>2</v>
      </c>
      <c r="G1007">
        <v>2</v>
      </c>
      <c r="H1007">
        <v>17</v>
      </c>
      <c r="I1007">
        <v>3</v>
      </c>
    </row>
    <row r="1008" spans="1:9" x14ac:dyDescent="0.25">
      <c r="A1008" s="18">
        <v>42647</v>
      </c>
      <c r="B1008">
        <v>6.33</v>
      </c>
      <c r="C1008">
        <v>2.99</v>
      </c>
      <c r="D1008">
        <v>6</v>
      </c>
      <c r="E1008">
        <v>47.6</v>
      </c>
      <c r="F1008">
        <v>8</v>
      </c>
      <c r="G1008">
        <v>0</v>
      </c>
      <c r="H1008">
        <v>10</v>
      </c>
      <c r="I1008">
        <v>2.5</v>
      </c>
    </row>
    <row r="1009" spans="1:9" x14ac:dyDescent="0.25">
      <c r="A1009" s="18">
        <v>42648</v>
      </c>
      <c r="B1009">
        <v>4</v>
      </c>
      <c r="C1009">
        <v>4</v>
      </c>
      <c r="D1009">
        <v>4</v>
      </c>
      <c r="E1009">
        <v>78.2</v>
      </c>
      <c r="F1009">
        <v>8</v>
      </c>
      <c r="G1009">
        <v>0</v>
      </c>
      <c r="H1009">
        <v>1</v>
      </c>
      <c r="I1009">
        <v>1</v>
      </c>
    </row>
    <row r="1010" spans="1:9" x14ac:dyDescent="0.25">
      <c r="A1010" s="18">
        <v>42649</v>
      </c>
      <c r="B1010">
        <v>4.33</v>
      </c>
      <c r="C1010">
        <v>3.99</v>
      </c>
      <c r="D1010">
        <v>6</v>
      </c>
      <c r="E1010">
        <v>44</v>
      </c>
      <c r="F1010">
        <v>4</v>
      </c>
      <c r="G1010">
        <v>0</v>
      </c>
      <c r="H1010">
        <v>3</v>
      </c>
      <c r="I1010">
        <v>0</v>
      </c>
    </row>
    <row r="1011" spans="1:9" x14ac:dyDescent="0.25">
      <c r="A1011" s="18">
        <v>42650</v>
      </c>
      <c r="B1011">
        <v>4.34</v>
      </c>
      <c r="C1011">
        <v>4.2969999999999997</v>
      </c>
      <c r="D1011">
        <v>6</v>
      </c>
      <c r="E1011">
        <v>47.625</v>
      </c>
      <c r="F1011">
        <v>4</v>
      </c>
      <c r="G1011">
        <v>0</v>
      </c>
      <c r="H1011">
        <v>0</v>
      </c>
      <c r="I1011">
        <v>1</v>
      </c>
    </row>
    <row r="1012" spans="1:9" x14ac:dyDescent="0.25">
      <c r="A1012" s="18">
        <v>42651</v>
      </c>
      <c r="B1012">
        <v>7.34</v>
      </c>
      <c r="C1012">
        <v>6.33</v>
      </c>
      <c r="D1012">
        <v>5</v>
      </c>
      <c r="E1012">
        <v>52.7</v>
      </c>
      <c r="F1012">
        <v>2</v>
      </c>
      <c r="G1012">
        <v>0</v>
      </c>
      <c r="H1012">
        <v>6</v>
      </c>
      <c r="I1012">
        <v>5</v>
      </c>
    </row>
    <row r="1013" spans="1:9" x14ac:dyDescent="0.25">
      <c r="A1013" s="18">
        <v>42652</v>
      </c>
      <c r="B1013">
        <v>6.68</v>
      </c>
      <c r="C1013">
        <v>5.0199999999999996</v>
      </c>
      <c r="D1013">
        <v>5.5</v>
      </c>
      <c r="E1013">
        <v>88.4</v>
      </c>
      <c r="F1013">
        <v>2</v>
      </c>
      <c r="G1013">
        <v>0</v>
      </c>
      <c r="H1013">
        <v>9</v>
      </c>
      <c r="I1013">
        <v>1</v>
      </c>
    </row>
    <row r="1014" spans="1:9" x14ac:dyDescent="0.25">
      <c r="A1014" s="18">
        <v>42653</v>
      </c>
      <c r="B1014">
        <v>2</v>
      </c>
      <c r="C1014">
        <v>5.0659999999999998</v>
      </c>
      <c r="D1014">
        <v>5</v>
      </c>
      <c r="E1014">
        <v>31.6</v>
      </c>
      <c r="F1014">
        <v>1</v>
      </c>
      <c r="G1014">
        <v>0</v>
      </c>
      <c r="H1014">
        <v>3</v>
      </c>
      <c r="I1014">
        <v>1</v>
      </c>
    </row>
    <row r="1015" spans="1:9" x14ac:dyDescent="0.25">
      <c r="A1015" s="18">
        <v>42654</v>
      </c>
      <c r="B1015">
        <v>7.33</v>
      </c>
      <c r="C1015">
        <v>2.4060000000000001</v>
      </c>
      <c r="D1015">
        <v>11.65</v>
      </c>
      <c r="E1015">
        <v>52.6</v>
      </c>
      <c r="F1015">
        <v>54.833333330000002</v>
      </c>
      <c r="G1015">
        <v>1</v>
      </c>
      <c r="H1015">
        <v>8</v>
      </c>
      <c r="I1015">
        <v>1</v>
      </c>
    </row>
    <row r="1016" spans="1:9" x14ac:dyDescent="0.25">
      <c r="A1016" s="18">
        <v>42655</v>
      </c>
      <c r="B1016">
        <v>8.33</v>
      </c>
      <c r="C1016">
        <v>2.3730000000000002</v>
      </c>
      <c r="D1016">
        <v>2</v>
      </c>
      <c r="E1016">
        <v>45.75</v>
      </c>
      <c r="F1016">
        <v>18</v>
      </c>
      <c r="G1016">
        <v>1</v>
      </c>
      <c r="H1016">
        <v>17</v>
      </c>
      <c r="I1016">
        <v>2</v>
      </c>
    </row>
    <row r="1017" spans="1:9" x14ac:dyDescent="0.25">
      <c r="A1017" s="18">
        <v>42656</v>
      </c>
      <c r="B1017">
        <v>4.66</v>
      </c>
      <c r="C1017">
        <v>4.33</v>
      </c>
      <c r="D1017">
        <v>3.2</v>
      </c>
      <c r="E1017">
        <v>42.2</v>
      </c>
      <c r="F1017">
        <v>20</v>
      </c>
      <c r="G1017">
        <v>0</v>
      </c>
      <c r="H1017">
        <v>3</v>
      </c>
      <c r="I1017">
        <v>2.2999999999999998</v>
      </c>
    </row>
    <row r="1018" spans="1:9" x14ac:dyDescent="0.25">
      <c r="A1018" s="18">
        <v>42657</v>
      </c>
      <c r="B1018">
        <v>7</v>
      </c>
      <c r="C1018">
        <v>4</v>
      </c>
      <c r="D1018">
        <v>3</v>
      </c>
      <c r="E1018">
        <v>38.700000000000003</v>
      </c>
      <c r="F1018">
        <v>22</v>
      </c>
      <c r="G1018">
        <v>0</v>
      </c>
      <c r="H1018">
        <v>9</v>
      </c>
      <c r="I1018">
        <v>1</v>
      </c>
    </row>
    <row r="1019" spans="1:9" x14ac:dyDescent="0.25">
      <c r="A1019" s="18">
        <v>42658</v>
      </c>
      <c r="B1019">
        <v>4</v>
      </c>
      <c r="C1019">
        <v>5.97</v>
      </c>
      <c r="D1019">
        <v>3.35</v>
      </c>
      <c r="E1019">
        <v>47.2</v>
      </c>
      <c r="F1019">
        <v>16</v>
      </c>
      <c r="G1019">
        <v>1</v>
      </c>
      <c r="H1019">
        <v>13</v>
      </c>
      <c r="I1019">
        <v>1</v>
      </c>
    </row>
    <row r="1020" spans="1:9" x14ac:dyDescent="0.25">
      <c r="A1020" s="18">
        <v>42659</v>
      </c>
      <c r="B1020">
        <v>8.33</v>
      </c>
      <c r="C1020">
        <v>5.1219999999999999</v>
      </c>
      <c r="D1020">
        <v>10</v>
      </c>
      <c r="E1020">
        <v>89.3</v>
      </c>
      <c r="F1020">
        <v>3</v>
      </c>
      <c r="G1020">
        <v>0</v>
      </c>
      <c r="H1020">
        <v>6</v>
      </c>
      <c r="I1020">
        <v>5</v>
      </c>
    </row>
    <row r="1021" spans="1:9" x14ac:dyDescent="0.25">
      <c r="A1021" s="18">
        <v>42660</v>
      </c>
      <c r="B1021">
        <v>2</v>
      </c>
      <c r="C1021">
        <v>5</v>
      </c>
      <c r="D1021">
        <v>5</v>
      </c>
      <c r="E1021">
        <v>50.8</v>
      </c>
      <c r="F1021">
        <v>1</v>
      </c>
      <c r="G1021">
        <v>0</v>
      </c>
      <c r="H1021">
        <v>9</v>
      </c>
      <c r="I1021">
        <v>1</v>
      </c>
    </row>
    <row r="1022" spans="1:9" x14ac:dyDescent="0.25">
      <c r="A1022" s="18">
        <v>42661</v>
      </c>
      <c r="B1022">
        <v>3</v>
      </c>
      <c r="C1022">
        <v>5.056</v>
      </c>
      <c r="D1022">
        <v>9</v>
      </c>
      <c r="E1022">
        <v>42.1</v>
      </c>
      <c r="F1022">
        <v>9</v>
      </c>
      <c r="G1022">
        <v>3</v>
      </c>
      <c r="H1022">
        <v>7</v>
      </c>
      <c r="I1022">
        <v>3.1</v>
      </c>
    </row>
    <row r="1023" spans="1:9" x14ac:dyDescent="0.25">
      <c r="A1023" s="18">
        <v>42662</v>
      </c>
      <c r="B1023">
        <v>4.33</v>
      </c>
      <c r="C1023">
        <v>6.66</v>
      </c>
      <c r="D1023">
        <v>5</v>
      </c>
      <c r="E1023">
        <v>26.7</v>
      </c>
      <c r="F1023">
        <v>11</v>
      </c>
      <c r="G1023">
        <v>0</v>
      </c>
      <c r="H1023">
        <v>2</v>
      </c>
      <c r="I1023">
        <v>1</v>
      </c>
    </row>
    <row r="1024" spans="1:9" x14ac:dyDescent="0.25">
      <c r="A1024" s="18">
        <v>42663</v>
      </c>
      <c r="B1024">
        <v>1.64</v>
      </c>
      <c r="C1024">
        <v>5.66</v>
      </c>
      <c r="D1024">
        <v>6</v>
      </c>
      <c r="E1024">
        <v>52.5</v>
      </c>
      <c r="F1024">
        <v>2</v>
      </c>
      <c r="G1024">
        <v>0</v>
      </c>
      <c r="H1024">
        <v>2</v>
      </c>
      <c r="I1024">
        <v>2</v>
      </c>
    </row>
    <row r="1025" spans="1:9" x14ac:dyDescent="0.25">
      <c r="A1025" s="18">
        <v>42664</v>
      </c>
      <c r="B1025">
        <v>8.66</v>
      </c>
      <c r="C1025">
        <v>3.8250000000000002</v>
      </c>
      <c r="D1025">
        <v>0</v>
      </c>
      <c r="E1025">
        <v>40.799999999999997</v>
      </c>
      <c r="F1025">
        <v>5</v>
      </c>
      <c r="G1025">
        <v>0</v>
      </c>
      <c r="H1025">
        <v>6</v>
      </c>
      <c r="I1025">
        <v>2</v>
      </c>
    </row>
    <row r="1026" spans="1:9" x14ac:dyDescent="0.25">
      <c r="A1026" s="18">
        <v>42665</v>
      </c>
      <c r="B1026">
        <v>7</v>
      </c>
      <c r="C1026">
        <v>2.67</v>
      </c>
      <c r="D1026">
        <v>4</v>
      </c>
      <c r="E1026">
        <v>29.7</v>
      </c>
      <c r="F1026">
        <v>3</v>
      </c>
      <c r="G1026">
        <v>0</v>
      </c>
      <c r="H1026">
        <v>10</v>
      </c>
      <c r="I1026">
        <v>4</v>
      </c>
    </row>
    <row r="1027" spans="1:9" x14ac:dyDescent="0.25">
      <c r="A1027" s="18">
        <v>42666</v>
      </c>
      <c r="B1027">
        <v>12.33</v>
      </c>
      <c r="C1027">
        <v>5.78</v>
      </c>
      <c r="D1027">
        <v>3.8</v>
      </c>
      <c r="E1027">
        <v>51.216666670000002</v>
      </c>
      <c r="F1027">
        <v>10</v>
      </c>
      <c r="G1027">
        <v>0</v>
      </c>
      <c r="H1027">
        <v>11</v>
      </c>
      <c r="I1027">
        <v>2</v>
      </c>
    </row>
    <row r="1028" spans="1:9" x14ac:dyDescent="0.25">
      <c r="A1028" s="18">
        <v>42667</v>
      </c>
      <c r="B1028">
        <v>2.66</v>
      </c>
      <c r="C1028">
        <v>3.0230000000000001</v>
      </c>
      <c r="D1028">
        <v>7.5</v>
      </c>
      <c r="E1028">
        <v>37</v>
      </c>
      <c r="F1028">
        <v>1</v>
      </c>
      <c r="G1028">
        <v>1</v>
      </c>
      <c r="H1028">
        <v>2</v>
      </c>
      <c r="I1028">
        <v>1</v>
      </c>
    </row>
    <row r="1029" spans="1:9" x14ac:dyDescent="0.25">
      <c r="A1029" s="18">
        <v>42668</v>
      </c>
      <c r="B1029">
        <v>4.33</v>
      </c>
      <c r="C1029">
        <v>4.5720000000000001</v>
      </c>
      <c r="D1029">
        <v>5.4</v>
      </c>
      <c r="E1029">
        <v>62.4</v>
      </c>
      <c r="F1029">
        <v>10</v>
      </c>
      <c r="G1029">
        <v>0</v>
      </c>
      <c r="H1029">
        <v>7</v>
      </c>
      <c r="I1029">
        <v>0</v>
      </c>
    </row>
    <row r="1030" spans="1:9" x14ac:dyDescent="0.25">
      <c r="A1030" s="18">
        <v>42669</v>
      </c>
      <c r="B1030">
        <v>2.33</v>
      </c>
      <c r="C1030">
        <v>2.3969999999999998</v>
      </c>
      <c r="D1030">
        <v>6</v>
      </c>
      <c r="E1030">
        <v>28.4</v>
      </c>
      <c r="F1030">
        <v>10</v>
      </c>
      <c r="G1030">
        <v>0</v>
      </c>
      <c r="H1030">
        <v>2</v>
      </c>
      <c r="I1030">
        <v>1</v>
      </c>
    </row>
    <row r="1031" spans="1:9" x14ac:dyDescent="0.25">
      <c r="A1031" s="18">
        <v>42670</v>
      </c>
      <c r="B1031">
        <v>6.5</v>
      </c>
      <c r="C1031">
        <v>2.0230000000000001</v>
      </c>
      <c r="D1031">
        <v>3</v>
      </c>
      <c r="E1031">
        <v>32.200000000000003</v>
      </c>
      <c r="F1031">
        <v>10</v>
      </c>
      <c r="G1031">
        <v>2</v>
      </c>
      <c r="H1031">
        <v>4</v>
      </c>
      <c r="I1031">
        <v>0</v>
      </c>
    </row>
    <row r="1032" spans="1:9" x14ac:dyDescent="0.25">
      <c r="A1032" s="18">
        <v>42671</v>
      </c>
      <c r="B1032">
        <v>7</v>
      </c>
      <c r="C1032">
        <v>3.78</v>
      </c>
      <c r="D1032">
        <v>6</v>
      </c>
      <c r="E1032">
        <v>34.4</v>
      </c>
      <c r="F1032">
        <v>9</v>
      </c>
      <c r="G1032">
        <v>0</v>
      </c>
      <c r="H1032">
        <v>5</v>
      </c>
      <c r="I1032">
        <v>0</v>
      </c>
    </row>
    <row r="1033" spans="1:9" x14ac:dyDescent="0.25">
      <c r="A1033" s="18">
        <v>42672</v>
      </c>
      <c r="B1033">
        <v>15.33</v>
      </c>
      <c r="C1033">
        <v>4.54</v>
      </c>
      <c r="D1033">
        <v>6.1</v>
      </c>
      <c r="E1033">
        <v>78.5</v>
      </c>
      <c r="F1033">
        <v>23</v>
      </c>
      <c r="G1033">
        <v>0</v>
      </c>
      <c r="H1033">
        <v>9</v>
      </c>
      <c r="I1033">
        <v>5</v>
      </c>
    </row>
    <row r="1034" spans="1:9" x14ac:dyDescent="0.25">
      <c r="A1034" s="18">
        <v>42673</v>
      </c>
      <c r="B1034">
        <v>4.66</v>
      </c>
      <c r="C1034">
        <v>10.32</v>
      </c>
      <c r="D1034">
        <v>5.75</v>
      </c>
      <c r="E1034">
        <v>73.099999999999994</v>
      </c>
      <c r="F1034">
        <v>5</v>
      </c>
      <c r="G1034">
        <v>0</v>
      </c>
      <c r="H1034">
        <v>0</v>
      </c>
      <c r="I1034">
        <v>2</v>
      </c>
    </row>
    <row r="1035" spans="1:9" x14ac:dyDescent="0.25">
      <c r="A1035" s="18">
        <v>42674</v>
      </c>
      <c r="B1035">
        <v>2.66</v>
      </c>
      <c r="C1035">
        <v>3.82</v>
      </c>
      <c r="D1035">
        <v>3</v>
      </c>
      <c r="E1035">
        <v>43.8</v>
      </c>
      <c r="F1035">
        <v>6</v>
      </c>
      <c r="G1035">
        <v>0</v>
      </c>
      <c r="H1035">
        <v>17</v>
      </c>
      <c r="I1035">
        <v>5</v>
      </c>
    </row>
    <row r="1036" spans="1:9" x14ac:dyDescent="0.25">
      <c r="A1036" s="18">
        <v>42675</v>
      </c>
      <c r="B1036">
        <v>2.33</v>
      </c>
      <c r="C1036">
        <v>1.7030000000000001</v>
      </c>
      <c r="D1036">
        <v>4</v>
      </c>
      <c r="E1036">
        <v>25.9</v>
      </c>
      <c r="F1036">
        <v>18</v>
      </c>
      <c r="G1036">
        <v>0</v>
      </c>
      <c r="H1036">
        <v>6</v>
      </c>
      <c r="I1036">
        <v>3</v>
      </c>
    </row>
    <row r="1037" spans="1:9" x14ac:dyDescent="0.25">
      <c r="A1037" s="18">
        <v>42676</v>
      </c>
      <c r="B1037">
        <v>4</v>
      </c>
      <c r="C1037">
        <v>3.7029999999999998</v>
      </c>
      <c r="D1037">
        <v>4.0999999999999996</v>
      </c>
      <c r="E1037">
        <v>42.2</v>
      </c>
      <c r="F1037">
        <v>1</v>
      </c>
      <c r="G1037">
        <v>0</v>
      </c>
      <c r="H1037">
        <v>2</v>
      </c>
      <c r="I1037">
        <v>3</v>
      </c>
    </row>
    <row r="1038" spans="1:9" x14ac:dyDescent="0.25">
      <c r="A1038" s="18">
        <v>42677</v>
      </c>
      <c r="B1038">
        <v>2</v>
      </c>
      <c r="C1038">
        <v>1</v>
      </c>
      <c r="D1038">
        <v>3</v>
      </c>
      <c r="E1038">
        <v>42.5</v>
      </c>
      <c r="F1038">
        <v>3</v>
      </c>
      <c r="G1038">
        <v>0</v>
      </c>
      <c r="H1038">
        <v>0</v>
      </c>
      <c r="I1038">
        <v>1</v>
      </c>
    </row>
    <row r="1039" spans="1:9" x14ac:dyDescent="0.25">
      <c r="A1039" s="18">
        <v>42678</v>
      </c>
      <c r="B1039">
        <v>8.33</v>
      </c>
      <c r="C1039">
        <v>4.3730000000000002</v>
      </c>
      <c r="D1039">
        <v>3.6</v>
      </c>
      <c r="E1039">
        <v>24.3</v>
      </c>
      <c r="F1039">
        <v>14</v>
      </c>
      <c r="G1039">
        <v>1</v>
      </c>
      <c r="H1039">
        <v>6</v>
      </c>
      <c r="I1039">
        <v>4.2</v>
      </c>
    </row>
    <row r="1040" spans="1:9" x14ac:dyDescent="0.25">
      <c r="A1040" s="18">
        <v>42679</v>
      </c>
      <c r="B1040">
        <v>7.6666666670000003</v>
      </c>
      <c r="C1040">
        <v>3.02</v>
      </c>
      <c r="D1040">
        <v>5.8</v>
      </c>
      <c r="E1040">
        <v>35.4</v>
      </c>
      <c r="F1040">
        <v>9</v>
      </c>
      <c r="G1040">
        <v>0</v>
      </c>
      <c r="H1040">
        <v>0</v>
      </c>
      <c r="I1040">
        <v>2</v>
      </c>
    </row>
    <row r="1041" spans="1:9" x14ac:dyDescent="0.25">
      <c r="A1041" s="18">
        <v>42680</v>
      </c>
      <c r="B1041">
        <v>8</v>
      </c>
      <c r="C1041">
        <v>4.34</v>
      </c>
      <c r="D1041">
        <v>3</v>
      </c>
      <c r="E1041">
        <v>42.45</v>
      </c>
      <c r="F1041">
        <v>3</v>
      </c>
      <c r="G1041">
        <v>2</v>
      </c>
      <c r="H1041">
        <v>11</v>
      </c>
      <c r="I1041">
        <v>5</v>
      </c>
    </row>
    <row r="1042" spans="1:9" x14ac:dyDescent="0.25">
      <c r="A1042" s="18">
        <v>42681</v>
      </c>
      <c r="B1042">
        <v>5</v>
      </c>
      <c r="C1042">
        <v>2.726</v>
      </c>
      <c r="D1042">
        <v>6.3</v>
      </c>
      <c r="E1042">
        <v>35</v>
      </c>
      <c r="F1042">
        <v>9</v>
      </c>
      <c r="G1042">
        <v>0</v>
      </c>
      <c r="H1042">
        <v>5</v>
      </c>
      <c r="I1042">
        <v>1</v>
      </c>
    </row>
    <row r="1043" spans="1:9" x14ac:dyDescent="0.25">
      <c r="A1043" s="18">
        <v>42682</v>
      </c>
      <c r="B1043">
        <v>7</v>
      </c>
      <c r="C1043">
        <v>2.35</v>
      </c>
      <c r="D1043">
        <v>8</v>
      </c>
      <c r="E1043">
        <v>20</v>
      </c>
      <c r="F1043">
        <v>19.166666670000001</v>
      </c>
      <c r="G1043">
        <v>2</v>
      </c>
      <c r="H1043">
        <v>8</v>
      </c>
      <c r="I1043">
        <v>3</v>
      </c>
    </row>
    <row r="1044" spans="1:9" x14ac:dyDescent="0.25">
      <c r="A1044" s="18">
        <v>42683</v>
      </c>
      <c r="B1044">
        <v>2.34</v>
      </c>
      <c r="C1044">
        <v>5.66</v>
      </c>
      <c r="D1044">
        <v>1.4</v>
      </c>
      <c r="E1044">
        <v>25</v>
      </c>
      <c r="F1044">
        <v>18</v>
      </c>
      <c r="G1044">
        <v>0</v>
      </c>
      <c r="H1044">
        <v>4</v>
      </c>
      <c r="I1044">
        <v>0</v>
      </c>
    </row>
    <row r="1045" spans="1:9" x14ac:dyDescent="0.25">
      <c r="A1045" s="18">
        <v>42684</v>
      </c>
      <c r="B1045">
        <v>7.33</v>
      </c>
      <c r="C1045">
        <v>6.33</v>
      </c>
      <c r="D1045">
        <v>7</v>
      </c>
      <c r="E1045">
        <v>31.1</v>
      </c>
      <c r="F1045">
        <v>5</v>
      </c>
      <c r="G1045">
        <v>2</v>
      </c>
      <c r="H1045">
        <v>12</v>
      </c>
      <c r="I1045">
        <v>3.4</v>
      </c>
    </row>
    <row r="1046" spans="1:9" x14ac:dyDescent="0.25">
      <c r="A1046" s="18">
        <v>42685</v>
      </c>
      <c r="B1046">
        <v>10.66</v>
      </c>
      <c r="C1046">
        <v>1.7589999999999999</v>
      </c>
      <c r="D1046">
        <v>4</v>
      </c>
      <c r="E1046">
        <v>33</v>
      </c>
      <c r="F1046">
        <v>6</v>
      </c>
      <c r="G1046">
        <v>0</v>
      </c>
      <c r="H1046">
        <v>1</v>
      </c>
      <c r="I1046">
        <v>1</v>
      </c>
    </row>
    <row r="1047" spans="1:9" x14ac:dyDescent="0.25">
      <c r="A1047" s="18">
        <v>42686</v>
      </c>
      <c r="B1047">
        <v>8</v>
      </c>
      <c r="C1047">
        <v>3.8250000000000002</v>
      </c>
      <c r="D1047">
        <v>7</v>
      </c>
      <c r="E1047">
        <v>56.5</v>
      </c>
      <c r="F1047">
        <v>10</v>
      </c>
      <c r="G1047">
        <v>0</v>
      </c>
      <c r="H1047">
        <v>1</v>
      </c>
      <c r="I1047">
        <v>1.2</v>
      </c>
    </row>
    <row r="1048" spans="1:9" x14ac:dyDescent="0.25">
      <c r="A1048" s="18">
        <v>42687</v>
      </c>
      <c r="B1048">
        <v>6</v>
      </c>
      <c r="C1048">
        <v>11.32</v>
      </c>
      <c r="D1048">
        <v>3.6</v>
      </c>
      <c r="E1048">
        <v>60.2</v>
      </c>
      <c r="F1048">
        <v>0</v>
      </c>
      <c r="G1048">
        <v>0</v>
      </c>
      <c r="H1048">
        <v>5</v>
      </c>
      <c r="I1048">
        <v>1</v>
      </c>
    </row>
    <row r="1049" spans="1:9" x14ac:dyDescent="0.25">
      <c r="A1049" s="18">
        <v>42688</v>
      </c>
      <c r="B1049">
        <v>10</v>
      </c>
      <c r="C1049">
        <v>4.726</v>
      </c>
      <c r="D1049">
        <v>3.8</v>
      </c>
      <c r="E1049">
        <v>50.5</v>
      </c>
      <c r="F1049">
        <v>5</v>
      </c>
      <c r="G1049">
        <v>3</v>
      </c>
      <c r="H1049">
        <v>1</v>
      </c>
      <c r="I1049">
        <v>1</v>
      </c>
    </row>
    <row r="1050" spans="1:9" x14ac:dyDescent="0.25">
      <c r="A1050" s="18">
        <v>42689</v>
      </c>
      <c r="B1050">
        <v>5.33</v>
      </c>
      <c r="C1050">
        <v>0.33</v>
      </c>
      <c r="D1050">
        <v>4</v>
      </c>
      <c r="E1050">
        <v>30.1</v>
      </c>
      <c r="F1050">
        <v>27</v>
      </c>
      <c r="G1050">
        <v>5</v>
      </c>
      <c r="H1050">
        <v>5</v>
      </c>
      <c r="I1050">
        <v>1</v>
      </c>
    </row>
    <row r="1051" spans="1:9" x14ac:dyDescent="0.25">
      <c r="A1051" s="18">
        <v>42690</v>
      </c>
      <c r="B1051">
        <v>4</v>
      </c>
      <c r="C1051">
        <v>3.1669999999999998</v>
      </c>
      <c r="D1051">
        <v>4</v>
      </c>
      <c r="E1051">
        <v>38.911999999999999</v>
      </c>
      <c r="F1051">
        <v>5</v>
      </c>
      <c r="G1051">
        <v>0</v>
      </c>
      <c r="H1051">
        <v>10</v>
      </c>
      <c r="I1051">
        <v>1</v>
      </c>
    </row>
    <row r="1052" spans="1:9" x14ac:dyDescent="0.25">
      <c r="A1052" s="18">
        <v>42691</v>
      </c>
      <c r="B1052">
        <v>5</v>
      </c>
      <c r="C1052">
        <v>2.726</v>
      </c>
      <c r="D1052">
        <v>5.7</v>
      </c>
      <c r="E1052">
        <v>41.4</v>
      </c>
      <c r="F1052">
        <v>0</v>
      </c>
      <c r="G1052">
        <v>0</v>
      </c>
      <c r="H1052">
        <v>1</v>
      </c>
      <c r="I1052">
        <v>1.4</v>
      </c>
    </row>
    <row r="1053" spans="1:9" x14ac:dyDescent="0.25">
      <c r="A1053" s="18">
        <v>42692</v>
      </c>
      <c r="B1053">
        <v>1.33</v>
      </c>
      <c r="C1053">
        <v>4.33</v>
      </c>
      <c r="D1053">
        <v>6.25</v>
      </c>
      <c r="E1053">
        <v>31</v>
      </c>
      <c r="F1053">
        <v>7</v>
      </c>
      <c r="G1053">
        <v>1</v>
      </c>
      <c r="H1053">
        <v>2</v>
      </c>
      <c r="I1053">
        <v>2</v>
      </c>
    </row>
    <row r="1054" spans="1:9" x14ac:dyDescent="0.25">
      <c r="A1054" s="18">
        <v>42693</v>
      </c>
      <c r="B1054">
        <v>5</v>
      </c>
      <c r="C1054">
        <v>2.7</v>
      </c>
      <c r="D1054">
        <v>4</v>
      </c>
      <c r="E1054">
        <v>35.4</v>
      </c>
      <c r="F1054">
        <v>3</v>
      </c>
      <c r="G1054">
        <v>0</v>
      </c>
      <c r="H1054">
        <v>3</v>
      </c>
      <c r="I1054">
        <v>2</v>
      </c>
    </row>
    <row r="1055" spans="1:9" x14ac:dyDescent="0.25">
      <c r="A1055" s="18">
        <v>42694</v>
      </c>
      <c r="B1055">
        <v>7</v>
      </c>
      <c r="C1055">
        <v>4.34</v>
      </c>
      <c r="D1055">
        <v>5</v>
      </c>
      <c r="E1055">
        <v>25.5</v>
      </c>
      <c r="F1055">
        <v>3</v>
      </c>
      <c r="G1055">
        <v>0</v>
      </c>
      <c r="H1055">
        <v>0</v>
      </c>
      <c r="I1055">
        <v>2</v>
      </c>
    </row>
    <row r="1056" spans="1:9" x14ac:dyDescent="0.25">
      <c r="A1056" s="18">
        <v>42695</v>
      </c>
      <c r="B1056">
        <v>1.34</v>
      </c>
      <c r="C1056">
        <v>3.34</v>
      </c>
      <c r="D1056">
        <v>5.25</v>
      </c>
      <c r="E1056">
        <v>30</v>
      </c>
      <c r="F1056">
        <v>1</v>
      </c>
      <c r="G1056">
        <v>0</v>
      </c>
      <c r="H1056">
        <v>13</v>
      </c>
      <c r="I1056">
        <v>3</v>
      </c>
    </row>
    <row r="1057" spans="1:9" x14ac:dyDescent="0.25">
      <c r="A1057" s="18">
        <v>42696</v>
      </c>
      <c r="B1057">
        <v>4.01</v>
      </c>
      <c r="C1057">
        <v>4.7030000000000003</v>
      </c>
      <c r="D1057">
        <v>1.1000000000000001</v>
      </c>
      <c r="E1057">
        <v>23</v>
      </c>
      <c r="F1057">
        <v>3</v>
      </c>
      <c r="G1057">
        <v>2</v>
      </c>
      <c r="H1057">
        <v>7</v>
      </c>
      <c r="I1057">
        <v>2</v>
      </c>
    </row>
    <row r="1058" spans="1:9" x14ac:dyDescent="0.25">
      <c r="A1058" s="18">
        <v>42697</v>
      </c>
      <c r="B1058">
        <v>3</v>
      </c>
      <c r="C1058">
        <v>4.33</v>
      </c>
      <c r="D1058">
        <v>3.7</v>
      </c>
      <c r="E1058">
        <v>44.124000000000002</v>
      </c>
      <c r="F1058">
        <v>5</v>
      </c>
      <c r="G1058">
        <v>0</v>
      </c>
      <c r="H1058">
        <v>0</v>
      </c>
      <c r="I1058">
        <v>1</v>
      </c>
    </row>
    <row r="1059" spans="1:9" x14ac:dyDescent="0.25">
      <c r="A1059" s="18">
        <v>42698</v>
      </c>
      <c r="B1059">
        <v>8.67</v>
      </c>
      <c r="C1059">
        <v>4.3330000000000002</v>
      </c>
      <c r="D1059">
        <v>6</v>
      </c>
      <c r="E1059">
        <v>28</v>
      </c>
      <c r="F1059">
        <v>2</v>
      </c>
      <c r="G1059">
        <v>0</v>
      </c>
      <c r="H1059">
        <v>10</v>
      </c>
      <c r="I1059">
        <v>3</v>
      </c>
    </row>
    <row r="1060" spans="1:9" x14ac:dyDescent="0.25">
      <c r="A1060" s="18">
        <v>42699</v>
      </c>
      <c r="B1060">
        <v>7.34</v>
      </c>
      <c r="C1060">
        <v>5</v>
      </c>
      <c r="D1060">
        <v>7</v>
      </c>
      <c r="E1060">
        <v>21</v>
      </c>
      <c r="F1060">
        <v>20</v>
      </c>
      <c r="G1060">
        <v>4</v>
      </c>
      <c r="H1060">
        <v>5</v>
      </c>
      <c r="I1060">
        <v>1</v>
      </c>
    </row>
    <row r="1061" spans="1:9" x14ac:dyDescent="0.25">
      <c r="A1061" s="18">
        <v>42700</v>
      </c>
      <c r="B1061">
        <v>3.33</v>
      </c>
      <c r="C1061">
        <v>5</v>
      </c>
      <c r="D1061">
        <v>4</v>
      </c>
      <c r="E1061">
        <v>36</v>
      </c>
      <c r="F1061">
        <v>9</v>
      </c>
      <c r="G1061">
        <v>3</v>
      </c>
      <c r="H1061">
        <v>12</v>
      </c>
      <c r="I1061">
        <v>2</v>
      </c>
    </row>
    <row r="1062" spans="1:9" x14ac:dyDescent="0.25">
      <c r="A1062" s="18">
        <v>42701</v>
      </c>
      <c r="B1062">
        <v>9.33</v>
      </c>
      <c r="C1062">
        <v>5.6929999999999996</v>
      </c>
      <c r="D1062">
        <v>3.9</v>
      </c>
      <c r="E1062">
        <v>61</v>
      </c>
      <c r="F1062">
        <v>5</v>
      </c>
      <c r="G1062">
        <v>0</v>
      </c>
      <c r="H1062">
        <v>1</v>
      </c>
      <c r="I1062">
        <v>0</v>
      </c>
    </row>
    <row r="1063" spans="1:9" x14ac:dyDescent="0.25">
      <c r="A1063" s="18">
        <v>42702</v>
      </c>
      <c r="B1063">
        <v>4.5</v>
      </c>
      <c r="C1063">
        <v>1.363</v>
      </c>
      <c r="D1063">
        <v>2.0499999999999998</v>
      </c>
      <c r="E1063">
        <v>23</v>
      </c>
      <c r="F1063">
        <v>5</v>
      </c>
      <c r="G1063">
        <v>0</v>
      </c>
      <c r="H1063">
        <v>12</v>
      </c>
      <c r="I1063">
        <v>0</v>
      </c>
    </row>
    <row r="1064" spans="1:9" x14ac:dyDescent="0.25">
      <c r="A1064" s="18">
        <v>42703</v>
      </c>
      <c r="B1064">
        <v>5.68</v>
      </c>
      <c r="C1064">
        <v>5.67</v>
      </c>
      <c r="D1064">
        <v>3</v>
      </c>
      <c r="E1064">
        <v>45.6</v>
      </c>
      <c r="F1064">
        <v>6</v>
      </c>
      <c r="G1064">
        <v>2</v>
      </c>
      <c r="H1064">
        <v>0</v>
      </c>
      <c r="I1064">
        <v>0</v>
      </c>
    </row>
    <row r="1065" spans="1:9" x14ac:dyDescent="0.25">
      <c r="A1065" s="18">
        <v>42704</v>
      </c>
      <c r="B1065">
        <v>3.33</v>
      </c>
      <c r="C1065">
        <v>2.99</v>
      </c>
      <c r="D1065">
        <v>4.3</v>
      </c>
      <c r="E1065">
        <v>24.6</v>
      </c>
      <c r="F1065">
        <v>13</v>
      </c>
      <c r="G1065">
        <v>0</v>
      </c>
      <c r="H1065">
        <v>7</v>
      </c>
      <c r="I1065">
        <v>0</v>
      </c>
    </row>
    <row r="1066" spans="1:9" x14ac:dyDescent="0.25">
      <c r="A1066" s="18">
        <v>42705</v>
      </c>
      <c r="B1066">
        <v>4.5</v>
      </c>
      <c r="C1066">
        <v>2.363</v>
      </c>
      <c r="D1066">
        <v>1.5</v>
      </c>
      <c r="E1066">
        <v>55.661999999999999</v>
      </c>
      <c r="F1066">
        <v>8</v>
      </c>
      <c r="G1066">
        <v>0</v>
      </c>
      <c r="H1066">
        <v>9</v>
      </c>
      <c r="I1066">
        <v>0</v>
      </c>
    </row>
    <row r="1067" spans="1:9" x14ac:dyDescent="0.25">
      <c r="A1067" s="18">
        <v>42706</v>
      </c>
      <c r="B1067">
        <v>6</v>
      </c>
      <c r="C1067">
        <v>1.0760000000000001</v>
      </c>
      <c r="D1067">
        <v>3.2</v>
      </c>
      <c r="E1067">
        <v>43</v>
      </c>
      <c r="F1067">
        <v>14</v>
      </c>
      <c r="G1067">
        <v>0</v>
      </c>
      <c r="H1067">
        <v>26</v>
      </c>
      <c r="I1067">
        <v>0.2</v>
      </c>
    </row>
    <row r="1068" spans="1:9" x14ac:dyDescent="0.25">
      <c r="A1068" s="18">
        <v>42707</v>
      </c>
      <c r="B1068">
        <v>3.17</v>
      </c>
      <c r="C1068">
        <v>2.68</v>
      </c>
      <c r="D1068">
        <v>3</v>
      </c>
      <c r="E1068">
        <v>43.3</v>
      </c>
      <c r="F1068">
        <v>2</v>
      </c>
      <c r="G1068">
        <v>0</v>
      </c>
      <c r="H1068">
        <v>1</v>
      </c>
      <c r="I1068">
        <v>4</v>
      </c>
    </row>
    <row r="1069" spans="1:9" x14ac:dyDescent="0.25">
      <c r="A1069" s="18">
        <v>42708</v>
      </c>
      <c r="B1069">
        <v>7</v>
      </c>
      <c r="C1069">
        <v>9.1229999999999993</v>
      </c>
      <c r="D1069">
        <v>2.9</v>
      </c>
      <c r="E1069">
        <v>67</v>
      </c>
      <c r="F1069">
        <v>4</v>
      </c>
      <c r="G1069">
        <v>0</v>
      </c>
      <c r="H1069">
        <v>0</v>
      </c>
      <c r="I1069">
        <v>0</v>
      </c>
    </row>
    <row r="1070" spans="1:9" x14ac:dyDescent="0.25">
      <c r="A1070" s="18">
        <v>42709</v>
      </c>
      <c r="B1070">
        <v>9.5</v>
      </c>
      <c r="C1070">
        <v>1.68</v>
      </c>
      <c r="D1070">
        <v>4</v>
      </c>
      <c r="E1070">
        <v>23</v>
      </c>
      <c r="F1070">
        <v>6</v>
      </c>
      <c r="G1070">
        <v>1</v>
      </c>
      <c r="H1070">
        <v>13</v>
      </c>
      <c r="I1070">
        <v>2</v>
      </c>
    </row>
    <row r="1071" spans="1:9" x14ac:dyDescent="0.25">
      <c r="A1071" s="18">
        <v>42710</v>
      </c>
      <c r="B1071">
        <v>6</v>
      </c>
      <c r="C1071">
        <v>5.09</v>
      </c>
      <c r="D1071">
        <v>4.4000000000000004</v>
      </c>
      <c r="E1071">
        <v>27.2</v>
      </c>
      <c r="F1071">
        <v>4</v>
      </c>
      <c r="G1071">
        <v>0</v>
      </c>
      <c r="H1071">
        <v>20</v>
      </c>
      <c r="I1071">
        <v>1</v>
      </c>
    </row>
    <row r="1072" spans="1:9" x14ac:dyDescent="0.25">
      <c r="A1072" s="18">
        <v>42711</v>
      </c>
      <c r="B1072">
        <v>4.34</v>
      </c>
      <c r="C1072">
        <v>2.726</v>
      </c>
      <c r="D1072">
        <v>1.7</v>
      </c>
      <c r="E1072">
        <v>47</v>
      </c>
      <c r="F1072">
        <v>8</v>
      </c>
      <c r="G1072">
        <v>3</v>
      </c>
      <c r="H1072">
        <v>7</v>
      </c>
      <c r="I1072">
        <v>3</v>
      </c>
    </row>
    <row r="1073" spans="1:9" x14ac:dyDescent="0.25">
      <c r="A1073" s="18">
        <v>42712</v>
      </c>
      <c r="B1073">
        <v>5.67</v>
      </c>
      <c r="C1073">
        <v>1.67</v>
      </c>
      <c r="D1073">
        <v>5</v>
      </c>
      <c r="E1073">
        <v>35.700000000000003</v>
      </c>
      <c r="F1073">
        <v>9</v>
      </c>
      <c r="G1073">
        <v>0</v>
      </c>
      <c r="H1073">
        <v>2</v>
      </c>
      <c r="I1073">
        <v>0</v>
      </c>
    </row>
    <row r="1074" spans="1:9" x14ac:dyDescent="0.25">
      <c r="A1074" s="18">
        <v>42713</v>
      </c>
      <c r="B1074">
        <v>5.66</v>
      </c>
      <c r="C1074">
        <v>1.67</v>
      </c>
      <c r="D1074">
        <v>4</v>
      </c>
      <c r="E1074">
        <v>35.061999999999998</v>
      </c>
      <c r="F1074">
        <v>2</v>
      </c>
      <c r="G1074">
        <v>0</v>
      </c>
      <c r="H1074">
        <v>0</v>
      </c>
      <c r="I1074">
        <v>2</v>
      </c>
    </row>
    <row r="1075" spans="1:9" x14ac:dyDescent="0.25">
      <c r="A1075" s="18">
        <v>42714</v>
      </c>
      <c r="B1075">
        <v>7.34</v>
      </c>
      <c r="C1075">
        <v>6.33</v>
      </c>
      <c r="D1075">
        <v>10.1</v>
      </c>
      <c r="E1075">
        <v>45.4</v>
      </c>
      <c r="F1075">
        <v>1</v>
      </c>
      <c r="G1075">
        <v>0</v>
      </c>
      <c r="H1075">
        <v>15</v>
      </c>
      <c r="I1075">
        <v>2</v>
      </c>
    </row>
    <row r="1076" spans="1:9" x14ac:dyDescent="0.25">
      <c r="A1076" s="18">
        <v>42715</v>
      </c>
      <c r="B1076">
        <v>3.34</v>
      </c>
      <c r="C1076">
        <v>4.726</v>
      </c>
      <c r="D1076">
        <v>8.5500000000000007</v>
      </c>
      <c r="E1076">
        <v>62.061999999999998</v>
      </c>
      <c r="F1076">
        <v>7</v>
      </c>
      <c r="G1076">
        <v>0</v>
      </c>
      <c r="H1076">
        <v>14</v>
      </c>
      <c r="I1076">
        <v>1</v>
      </c>
    </row>
    <row r="1077" spans="1:9" x14ac:dyDescent="0.25">
      <c r="A1077" s="18">
        <v>42716</v>
      </c>
      <c r="B1077">
        <v>3.66</v>
      </c>
      <c r="C1077">
        <v>2.4289999999999998</v>
      </c>
      <c r="D1077">
        <v>3.1</v>
      </c>
      <c r="E1077">
        <v>44.5</v>
      </c>
      <c r="F1077">
        <v>28.333333329999999</v>
      </c>
      <c r="G1077">
        <v>3</v>
      </c>
      <c r="H1077">
        <v>21</v>
      </c>
      <c r="I1077">
        <v>4</v>
      </c>
    </row>
    <row r="1078" spans="1:9" x14ac:dyDescent="0.25">
      <c r="A1078" s="18">
        <v>42717</v>
      </c>
      <c r="B1078">
        <v>1</v>
      </c>
      <c r="C1078">
        <v>4</v>
      </c>
      <c r="D1078">
        <v>5.0999999999999996</v>
      </c>
      <c r="E1078">
        <v>43.6</v>
      </c>
      <c r="F1078">
        <v>0</v>
      </c>
      <c r="G1078">
        <v>0</v>
      </c>
      <c r="H1078">
        <v>18</v>
      </c>
      <c r="I1078">
        <v>0</v>
      </c>
    </row>
    <row r="1079" spans="1:9" x14ac:dyDescent="0.25">
      <c r="A1079" s="18">
        <v>42718</v>
      </c>
      <c r="B1079">
        <v>5.83</v>
      </c>
      <c r="C1079">
        <v>3.78</v>
      </c>
      <c r="D1079">
        <v>5.65</v>
      </c>
      <c r="E1079">
        <v>32.200000000000003</v>
      </c>
      <c r="F1079">
        <v>21</v>
      </c>
      <c r="G1079">
        <v>0</v>
      </c>
      <c r="H1079">
        <v>10</v>
      </c>
      <c r="I1079">
        <v>1.2</v>
      </c>
    </row>
    <row r="1080" spans="1:9" x14ac:dyDescent="0.25">
      <c r="A1080" s="18">
        <v>42719</v>
      </c>
      <c r="B1080">
        <v>9.66</v>
      </c>
      <c r="C1080">
        <v>3.33</v>
      </c>
      <c r="D1080">
        <v>1</v>
      </c>
      <c r="E1080">
        <v>22.8</v>
      </c>
      <c r="F1080">
        <v>8</v>
      </c>
      <c r="G1080">
        <v>0</v>
      </c>
      <c r="H1080">
        <v>5</v>
      </c>
      <c r="I1080">
        <v>1</v>
      </c>
    </row>
    <row r="1081" spans="1:9" x14ac:dyDescent="0.25">
      <c r="A1081" s="18">
        <v>42720</v>
      </c>
      <c r="B1081">
        <v>7.33</v>
      </c>
      <c r="C1081">
        <v>6.32</v>
      </c>
      <c r="D1081">
        <v>2.2000000000000002</v>
      </c>
      <c r="E1081">
        <v>39.774999999999999</v>
      </c>
      <c r="F1081">
        <v>8</v>
      </c>
      <c r="G1081">
        <v>3</v>
      </c>
      <c r="H1081">
        <v>23</v>
      </c>
      <c r="I1081">
        <v>1</v>
      </c>
    </row>
    <row r="1082" spans="1:9" x14ac:dyDescent="0.25">
      <c r="A1082" s="18">
        <v>42721</v>
      </c>
      <c r="B1082">
        <v>5.99</v>
      </c>
      <c r="C1082">
        <v>2.66</v>
      </c>
      <c r="D1082">
        <v>4.1500000000000004</v>
      </c>
      <c r="E1082">
        <v>59.95</v>
      </c>
      <c r="F1082">
        <v>10</v>
      </c>
      <c r="G1082">
        <v>0</v>
      </c>
      <c r="H1082">
        <v>6</v>
      </c>
      <c r="I1082">
        <v>1</v>
      </c>
    </row>
    <row r="1083" spans="1:9" x14ac:dyDescent="0.25">
      <c r="A1083" s="18">
        <v>42722</v>
      </c>
      <c r="B1083">
        <v>1.67</v>
      </c>
      <c r="C1083">
        <v>5.0199999999999996</v>
      </c>
      <c r="D1083">
        <v>4.2</v>
      </c>
      <c r="E1083">
        <v>60.7</v>
      </c>
      <c r="F1083">
        <v>13</v>
      </c>
      <c r="G1083">
        <v>0</v>
      </c>
      <c r="H1083">
        <v>5</v>
      </c>
      <c r="I1083">
        <v>1</v>
      </c>
    </row>
    <row r="1084" spans="1:9" x14ac:dyDescent="0.25">
      <c r="A1084" s="18">
        <v>42723</v>
      </c>
      <c r="B1084">
        <v>3.34</v>
      </c>
      <c r="C1084">
        <v>5</v>
      </c>
      <c r="D1084">
        <v>2.2839999999999998</v>
      </c>
      <c r="E1084">
        <v>46.6</v>
      </c>
      <c r="F1084">
        <v>6</v>
      </c>
      <c r="G1084">
        <v>3</v>
      </c>
      <c r="H1084">
        <v>6</v>
      </c>
      <c r="I1084">
        <v>4</v>
      </c>
    </row>
    <row r="1085" spans="1:9" x14ac:dyDescent="0.25">
      <c r="A1085" s="18">
        <v>42724</v>
      </c>
      <c r="B1085">
        <v>6.33</v>
      </c>
      <c r="C1085">
        <v>3.66</v>
      </c>
      <c r="D1085">
        <v>4</v>
      </c>
      <c r="E1085">
        <v>46</v>
      </c>
      <c r="F1085">
        <v>12</v>
      </c>
      <c r="G1085">
        <v>2</v>
      </c>
      <c r="H1085">
        <v>1</v>
      </c>
      <c r="I1085">
        <v>0</v>
      </c>
    </row>
    <row r="1086" spans="1:9" x14ac:dyDescent="0.25">
      <c r="A1086" s="18">
        <v>42725</v>
      </c>
      <c r="B1086">
        <v>1.34</v>
      </c>
      <c r="C1086">
        <v>2.8119999999999998</v>
      </c>
      <c r="D1086">
        <v>0.25</v>
      </c>
      <c r="E1086">
        <v>37</v>
      </c>
      <c r="F1086">
        <v>5</v>
      </c>
      <c r="G1086">
        <v>0</v>
      </c>
      <c r="H1086">
        <v>6</v>
      </c>
      <c r="I1086">
        <v>2.5</v>
      </c>
    </row>
    <row r="1087" spans="1:9" x14ac:dyDescent="0.25">
      <c r="A1087" s="18">
        <v>42726</v>
      </c>
      <c r="B1087">
        <v>4.34</v>
      </c>
      <c r="C1087">
        <v>4.165</v>
      </c>
      <c r="D1087">
        <v>3.8</v>
      </c>
      <c r="E1087">
        <v>38.4</v>
      </c>
      <c r="F1087">
        <v>1</v>
      </c>
      <c r="G1087">
        <v>0</v>
      </c>
      <c r="H1087">
        <v>5</v>
      </c>
      <c r="I1087">
        <v>0</v>
      </c>
    </row>
    <row r="1088" spans="1:9" x14ac:dyDescent="0.25">
      <c r="A1088" s="18">
        <v>42727</v>
      </c>
      <c r="B1088">
        <v>5.33</v>
      </c>
      <c r="C1088">
        <v>4.67</v>
      </c>
      <c r="D1088">
        <v>1.1499999999999999</v>
      </c>
      <c r="E1088">
        <v>32</v>
      </c>
      <c r="F1088">
        <v>6</v>
      </c>
      <c r="G1088">
        <v>0</v>
      </c>
      <c r="H1088">
        <v>8</v>
      </c>
      <c r="I1088">
        <v>2</v>
      </c>
    </row>
    <row r="1089" spans="1:9" x14ac:dyDescent="0.25">
      <c r="A1089" s="18">
        <v>42728</v>
      </c>
      <c r="B1089">
        <v>6.33</v>
      </c>
      <c r="C1089">
        <v>6.7</v>
      </c>
      <c r="D1089">
        <v>4.2</v>
      </c>
      <c r="E1089">
        <v>82</v>
      </c>
      <c r="F1089">
        <v>4</v>
      </c>
      <c r="G1089">
        <v>1</v>
      </c>
      <c r="H1089">
        <v>2</v>
      </c>
      <c r="I1089">
        <v>1</v>
      </c>
    </row>
    <row r="1090" spans="1:9" x14ac:dyDescent="0.25">
      <c r="A1090" s="18">
        <v>42729</v>
      </c>
      <c r="B1090">
        <v>2.33</v>
      </c>
      <c r="C1090">
        <v>7.6269999999999998</v>
      </c>
      <c r="D1090">
        <v>5.7</v>
      </c>
      <c r="E1090">
        <v>79.8</v>
      </c>
      <c r="F1090">
        <v>0</v>
      </c>
      <c r="G1090">
        <v>0</v>
      </c>
      <c r="H1090">
        <v>9</v>
      </c>
      <c r="I1090">
        <v>1</v>
      </c>
    </row>
    <row r="1091" spans="1:9" x14ac:dyDescent="0.25">
      <c r="A1091" s="18">
        <v>42730</v>
      </c>
      <c r="B1091">
        <v>10.33</v>
      </c>
      <c r="C1091">
        <v>4.66</v>
      </c>
      <c r="D1091">
        <v>2</v>
      </c>
      <c r="E1091">
        <v>58.923999999999999</v>
      </c>
      <c r="F1091">
        <v>6</v>
      </c>
      <c r="G1091">
        <v>0</v>
      </c>
      <c r="H1091">
        <v>2</v>
      </c>
      <c r="I1091">
        <v>2</v>
      </c>
    </row>
    <row r="1092" spans="1:9" x14ac:dyDescent="0.25">
      <c r="A1092" s="18">
        <v>42731</v>
      </c>
      <c r="B1092">
        <v>6</v>
      </c>
      <c r="C1092">
        <v>5</v>
      </c>
      <c r="D1092">
        <v>0.41666666699999999</v>
      </c>
      <c r="E1092">
        <v>54.2</v>
      </c>
      <c r="F1092">
        <v>8</v>
      </c>
      <c r="G1092">
        <v>2</v>
      </c>
      <c r="H1092">
        <v>13</v>
      </c>
      <c r="I1092">
        <v>0</v>
      </c>
    </row>
    <row r="1093" spans="1:9" x14ac:dyDescent="0.25">
      <c r="A1093" s="18">
        <v>42732</v>
      </c>
      <c r="B1093">
        <v>4.34</v>
      </c>
      <c r="C1093">
        <v>6.33</v>
      </c>
      <c r="D1093">
        <v>6.45</v>
      </c>
      <c r="E1093">
        <v>57.2</v>
      </c>
      <c r="F1093">
        <v>7</v>
      </c>
      <c r="G1093">
        <v>0</v>
      </c>
      <c r="H1093">
        <v>13</v>
      </c>
      <c r="I1093">
        <v>0</v>
      </c>
    </row>
    <row r="1094" spans="1:9" x14ac:dyDescent="0.25">
      <c r="A1094" s="18">
        <v>42733</v>
      </c>
      <c r="B1094">
        <v>11</v>
      </c>
      <c r="C1094">
        <v>6.01</v>
      </c>
      <c r="D1094">
        <v>6.35</v>
      </c>
      <c r="E1094">
        <v>81.2</v>
      </c>
      <c r="F1094">
        <v>4</v>
      </c>
      <c r="G1094">
        <v>3</v>
      </c>
      <c r="H1094">
        <v>6</v>
      </c>
      <c r="I1094">
        <v>2</v>
      </c>
    </row>
    <row r="1095" spans="1:9" x14ac:dyDescent="0.25">
      <c r="A1095" s="18">
        <v>42734</v>
      </c>
      <c r="B1095">
        <v>5.66</v>
      </c>
      <c r="C1095">
        <v>8.99</v>
      </c>
      <c r="D1095">
        <v>7.3</v>
      </c>
      <c r="E1095">
        <v>161</v>
      </c>
      <c r="F1095">
        <v>13</v>
      </c>
      <c r="G1095">
        <v>0</v>
      </c>
      <c r="H1095">
        <v>3</v>
      </c>
      <c r="I1095">
        <v>0</v>
      </c>
    </row>
    <row r="1096" spans="1:9" x14ac:dyDescent="0.25">
      <c r="A1096" s="18">
        <v>42735</v>
      </c>
      <c r="B1096">
        <v>8.33</v>
      </c>
      <c r="C1096">
        <v>7.7590000000000003</v>
      </c>
      <c r="D1096">
        <v>7.45</v>
      </c>
      <c r="E1096">
        <v>108.7</v>
      </c>
      <c r="F1096">
        <v>7</v>
      </c>
      <c r="G1096">
        <v>0</v>
      </c>
      <c r="H1096">
        <v>12</v>
      </c>
      <c r="I1096">
        <v>0</v>
      </c>
    </row>
    <row r="1097" spans="1:9" x14ac:dyDescent="0.25">
      <c r="A1097" s="18">
        <v>42736</v>
      </c>
      <c r="B1097">
        <v>4.33</v>
      </c>
      <c r="C1097">
        <v>7.593</v>
      </c>
      <c r="D1097">
        <v>1.2</v>
      </c>
      <c r="E1097">
        <v>43</v>
      </c>
      <c r="F1097">
        <v>4</v>
      </c>
      <c r="G1097">
        <v>0</v>
      </c>
      <c r="H1097">
        <v>14</v>
      </c>
      <c r="I1097">
        <v>0</v>
      </c>
    </row>
    <row r="1098" spans="1:9" x14ac:dyDescent="0.25">
      <c r="A1098" s="18">
        <v>42737</v>
      </c>
      <c r="B1098">
        <v>4</v>
      </c>
      <c r="C1098">
        <v>5.0199999999999996</v>
      </c>
      <c r="D1098">
        <v>2</v>
      </c>
      <c r="E1098">
        <v>29</v>
      </c>
      <c r="F1098">
        <v>0</v>
      </c>
      <c r="G1098">
        <v>0</v>
      </c>
      <c r="H1098">
        <v>0</v>
      </c>
      <c r="I1098">
        <v>2</v>
      </c>
    </row>
    <row r="1099" spans="1:9" x14ac:dyDescent="0.25">
      <c r="A1099" s="18">
        <v>42738</v>
      </c>
      <c r="B1099">
        <v>12</v>
      </c>
      <c r="C1099">
        <v>5.33</v>
      </c>
      <c r="D1099">
        <v>6</v>
      </c>
      <c r="E1099">
        <v>34.5</v>
      </c>
      <c r="F1099">
        <v>3</v>
      </c>
      <c r="G1099">
        <v>0</v>
      </c>
      <c r="H1099">
        <v>0</v>
      </c>
      <c r="I1099">
        <v>1</v>
      </c>
    </row>
    <row r="1100" spans="1:9" x14ac:dyDescent="0.25">
      <c r="A1100" s="18">
        <v>42739</v>
      </c>
      <c r="B1100">
        <v>4.34</v>
      </c>
      <c r="C1100">
        <v>6.67</v>
      </c>
      <c r="D1100">
        <v>1</v>
      </c>
      <c r="E1100">
        <v>50</v>
      </c>
      <c r="F1100">
        <v>19</v>
      </c>
      <c r="G1100">
        <v>3</v>
      </c>
      <c r="H1100">
        <v>3</v>
      </c>
      <c r="I1100">
        <v>0</v>
      </c>
    </row>
    <row r="1101" spans="1:9" x14ac:dyDescent="0.25">
      <c r="A1101" s="18">
        <v>42740</v>
      </c>
      <c r="B1101">
        <v>5.67</v>
      </c>
      <c r="C1101">
        <v>3.58</v>
      </c>
      <c r="D1101">
        <v>4.3</v>
      </c>
      <c r="E1101">
        <v>69</v>
      </c>
      <c r="F1101">
        <v>9</v>
      </c>
      <c r="G1101">
        <v>3</v>
      </c>
      <c r="H1101">
        <v>6</v>
      </c>
      <c r="I1101">
        <v>0</v>
      </c>
    </row>
    <row r="1102" spans="1:9" x14ac:dyDescent="0.25">
      <c r="A1102" s="18">
        <v>42741</v>
      </c>
      <c r="B1102">
        <v>9.34</v>
      </c>
      <c r="C1102">
        <v>1.33</v>
      </c>
      <c r="D1102">
        <v>7</v>
      </c>
      <c r="E1102">
        <v>55.8</v>
      </c>
      <c r="F1102">
        <v>13</v>
      </c>
      <c r="G1102">
        <v>2</v>
      </c>
      <c r="H1102">
        <v>1</v>
      </c>
      <c r="I1102">
        <v>1</v>
      </c>
    </row>
    <row r="1103" spans="1:9" x14ac:dyDescent="0.25">
      <c r="A1103" s="18">
        <v>42742</v>
      </c>
      <c r="B1103">
        <v>10.52</v>
      </c>
      <c r="C1103">
        <v>1.1299999999999999</v>
      </c>
      <c r="D1103">
        <v>4</v>
      </c>
      <c r="E1103">
        <v>73</v>
      </c>
      <c r="F1103">
        <v>7</v>
      </c>
      <c r="G1103">
        <v>0</v>
      </c>
      <c r="H1103">
        <v>1</v>
      </c>
      <c r="I1103">
        <v>1</v>
      </c>
    </row>
    <row r="1104" spans="1:9" x14ac:dyDescent="0.25">
      <c r="A1104" s="18">
        <v>42743</v>
      </c>
      <c r="B1104">
        <v>7.66</v>
      </c>
      <c r="C1104">
        <v>6.7919999999999998</v>
      </c>
      <c r="D1104">
        <v>4.2</v>
      </c>
      <c r="E1104">
        <v>93.05</v>
      </c>
      <c r="F1104">
        <v>4</v>
      </c>
      <c r="G1104">
        <v>0</v>
      </c>
      <c r="H1104">
        <v>5</v>
      </c>
      <c r="I1104">
        <v>1.1000000000000001</v>
      </c>
    </row>
    <row r="1105" spans="1:9" x14ac:dyDescent="0.25">
      <c r="A1105" s="18">
        <v>42744</v>
      </c>
      <c r="B1105">
        <v>9</v>
      </c>
      <c r="C1105">
        <v>0.62</v>
      </c>
      <c r="D1105">
        <v>1</v>
      </c>
      <c r="E1105">
        <v>45</v>
      </c>
      <c r="F1105">
        <v>6</v>
      </c>
      <c r="G1105">
        <v>0</v>
      </c>
      <c r="H1105">
        <v>13</v>
      </c>
      <c r="I1105">
        <v>1</v>
      </c>
    </row>
    <row r="1106" spans="1:9" x14ac:dyDescent="0.25">
      <c r="A1106" s="18">
        <v>42745</v>
      </c>
      <c r="B1106">
        <v>3</v>
      </c>
      <c r="C1106">
        <v>5</v>
      </c>
      <c r="D1106">
        <v>3.8</v>
      </c>
      <c r="E1106">
        <v>18</v>
      </c>
      <c r="F1106">
        <v>11</v>
      </c>
      <c r="G1106">
        <v>0</v>
      </c>
      <c r="H1106">
        <v>3</v>
      </c>
      <c r="I1106">
        <v>2</v>
      </c>
    </row>
    <row r="1107" spans="1:9" x14ac:dyDescent="0.25">
      <c r="A1107" s="18">
        <v>42746</v>
      </c>
      <c r="B1107">
        <v>1</v>
      </c>
      <c r="C1107">
        <v>5.0759999999999996</v>
      </c>
      <c r="D1107">
        <v>2.25</v>
      </c>
      <c r="E1107">
        <v>48.8</v>
      </c>
      <c r="F1107">
        <v>12</v>
      </c>
      <c r="G1107">
        <v>5</v>
      </c>
      <c r="H1107">
        <v>0</v>
      </c>
      <c r="I1107">
        <v>3</v>
      </c>
    </row>
    <row r="1108" spans="1:9" x14ac:dyDescent="0.25">
      <c r="A1108" s="18">
        <v>42747</v>
      </c>
      <c r="B1108">
        <v>2</v>
      </c>
      <c r="C1108">
        <v>4.8360000000000003</v>
      </c>
      <c r="D1108">
        <v>9.5</v>
      </c>
      <c r="E1108">
        <v>81.2</v>
      </c>
      <c r="F1108">
        <v>8</v>
      </c>
      <c r="G1108">
        <v>3</v>
      </c>
      <c r="H1108">
        <v>1</v>
      </c>
      <c r="I1108">
        <v>0</v>
      </c>
    </row>
    <row r="1109" spans="1:9" x14ac:dyDescent="0.25">
      <c r="A1109" s="18">
        <v>42748</v>
      </c>
      <c r="B1109">
        <v>5</v>
      </c>
      <c r="C1109">
        <v>7.18</v>
      </c>
      <c r="D1109">
        <v>9.4</v>
      </c>
      <c r="E1109">
        <v>161</v>
      </c>
      <c r="F1109">
        <v>17</v>
      </c>
      <c r="G1109">
        <v>2</v>
      </c>
      <c r="H1109">
        <v>26</v>
      </c>
      <c r="I1109">
        <v>0</v>
      </c>
    </row>
    <row r="1110" spans="1:9" x14ac:dyDescent="0.25">
      <c r="A1110" s="18">
        <v>42749</v>
      </c>
      <c r="B1110">
        <v>8.34</v>
      </c>
      <c r="C1110">
        <v>4.4290000000000003</v>
      </c>
      <c r="D1110">
        <v>7.1</v>
      </c>
      <c r="E1110">
        <v>45.4</v>
      </c>
      <c r="F1110">
        <v>15</v>
      </c>
      <c r="G1110">
        <v>1</v>
      </c>
      <c r="H1110">
        <v>10</v>
      </c>
      <c r="I1110">
        <v>3</v>
      </c>
    </row>
    <row r="1111" spans="1:9" x14ac:dyDescent="0.25">
      <c r="A1111" s="18">
        <v>42750</v>
      </c>
      <c r="B1111">
        <v>2</v>
      </c>
      <c r="C1111">
        <v>5.1429999999999998</v>
      </c>
      <c r="D1111">
        <v>0.2</v>
      </c>
      <c r="E1111">
        <v>36</v>
      </c>
      <c r="F1111">
        <v>1</v>
      </c>
      <c r="G1111">
        <v>0</v>
      </c>
      <c r="H1111">
        <v>0</v>
      </c>
      <c r="I1111">
        <v>1</v>
      </c>
    </row>
    <row r="1112" spans="1:9" x14ac:dyDescent="0.25">
      <c r="A1112" s="18">
        <v>42751</v>
      </c>
      <c r="B1112">
        <v>2.33</v>
      </c>
      <c r="C1112">
        <v>4.66</v>
      </c>
      <c r="D1112">
        <v>2</v>
      </c>
      <c r="E1112">
        <v>44.5</v>
      </c>
      <c r="F1112">
        <v>3</v>
      </c>
      <c r="G1112">
        <v>0</v>
      </c>
      <c r="H1112">
        <v>3</v>
      </c>
      <c r="I1112">
        <v>3</v>
      </c>
    </row>
    <row r="1113" spans="1:9" x14ac:dyDescent="0.25">
      <c r="A1113" s="18">
        <v>42752</v>
      </c>
      <c r="B1113">
        <v>6</v>
      </c>
      <c r="C1113">
        <v>3.32</v>
      </c>
      <c r="D1113">
        <v>4.4000000000000004</v>
      </c>
      <c r="E1113">
        <v>46</v>
      </c>
      <c r="F1113">
        <v>0</v>
      </c>
      <c r="G1113">
        <v>2</v>
      </c>
      <c r="H1113">
        <v>6</v>
      </c>
      <c r="I1113">
        <v>2</v>
      </c>
    </row>
    <row r="1114" spans="1:9" x14ac:dyDescent="0.25">
      <c r="A1114" s="18">
        <v>42753</v>
      </c>
      <c r="B1114">
        <v>2.3199999999999998</v>
      </c>
      <c r="C1114">
        <v>4.4290000000000003</v>
      </c>
      <c r="D1114">
        <v>2.5</v>
      </c>
      <c r="E1114">
        <v>30.062000000000001</v>
      </c>
      <c r="F1114">
        <v>7</v>
      </c>
      <c r="G1114">
        <v>0</v>
      </c>
      <c r="H1114">
        <v>5</v>
      </c>
      <c r="I1114">
        <v>0</v>
      </c>
    </row>
    <row r="1115" spans="1:9" x14ac:dyDescent="0.25">
      <c r="A1115" s="18">
        <v>42754</v>
      </c>
      <c r="B1115">
        <v>8.34</v>
      </c>
      <c r="C1115">
        <v>6.01</v>
      </c>
      <c r="D1115">
        <v>3.8</v>
      </c>
      <c r="E1115">
        <v>42.6</v>
      </c>
      <c r="F1115">
        <v>9</v>
      </c>
      <c r="G1115">
        <v>0</v>
      </c>
      <c r="H1115">
        <v>8</v>
      </c>
      <c r="I1115">
        <v>2</v>
      </c>
    </row>
    <row r="1116" spans="1:9" x14ac:dyDescent="0.25">
      <c r="A1116" s="18">
        <v>42755</v>
      </c>
      <c r="B1116">
        <v>4.01</v>
      </c>
      <c r="C1116">
        <v>6.32</v>
      </c>
      <c r="D1116">
        <v>4.75</v>
      </c>
      <c r="E1116">
        <v>39.200000000000003</v>
      </c>
      <c r="F1116">
        <v>10</v>
      </c>
      <c r="G1116">
        <v>1</v>
      </c>
      <c r="H1116">
        <v>0</v>
      </c>
      <c r="I1116">
        <v>0</v>
      </c>
    </row>
    <row r="1117" spans="1:9" x14ac:dyDescent="0.25">
      <c r="A1117" s="18">
        <v>42756</v>
      </c>
      <c r="B1117">
        <v>6.68</v>
      </c>
      <c r="C1117">
        <v>6.1319999999999997</v>
      </c>
      <c r="D1117">
        <v>3.1</v>
      </c>
      <c r="E1117">
        <v>52.9</v>
      </c>
      <c r="F1117">
        <v>11</v>
      </c>
      <c r="G1117">
        <v>0</v>
      </c>
      <c r="H1117">
        <v>22</v>
      </c>
      <c r="I1117">
        <v>2</v>
      </c>
    </row>
    <row r="1118" spans="1:9" x14ac:dyDescent="0.25">
      <c r="A1118" s="18">
        <v>42757</v>
      </c>
      <c r="B1118">
        <v>8.33</v>
      </c>
      <c r="C1118">
        <v>10.725</v>
      </c>
      <c r="D1118">
        <v>2.1</v>
      </c>
      <c r="E1118">
        <v>67.599999999999994</v>
      </c>
      <c r="F1118">
        <v>1</v>
      </c>
      <c r="G1118">
        <v>0</v>
      </c>
      <c r="H1118">
        <v>0</v>
      </c>
      <c r="I1118">
        <v>2</v>
      </c>
    </row>
    <row r="1119" spans="1:9" x14ac:dyDescent="0.25">
      <c r="A1119" s="18">
        <v>42758</v>
      </c>
      <c r="B1119">
        <v>10.33</v>
      </c>
      <c r="C1119">
        <v>3.34</v>
      </c>
      <c r="D1119">
        <v>1.1000000000000001</v>
      </c>
      <c r="E1119">
        <v>47.9</v>
      </c>
      <c r="F1119">
        <v>14</v>
      </c>
      <c r="G1119">
        <v>1</v>
      </c>
      <c r="H1119">
        <v>7</v>
      </c>
      <c r="I1119">
        <v>0</v>
      </c>
    </row>
    <row r="1120" spans="1:9" x14ac:dyDescent="0.25">
      <c r="A1120" s="18">
        <v>42759</v>
      </c>
      <c r="B1120">
        <v>4.34</v>
      </c>
      <c r="C1120">
        <v>4.069</v>
      </c>
      <c r="D1120">
        <v>7.3</v>
      </c>
      <c r="E1120">
        <v>42</v>
      </c>
      <c r="F1120">
        <v>14</v>
      </c>
      <c r="G1120">
        <v>0</v>
      </c>
      <c r="H1120">
        <v>10</v>
      </c>
      <c r="I1120">
        <v>0</v>
      </c>
    </row>
    <row r="1121" spans="1:9" x14ac:dyDescent="0.25">
      <c r="A1121" s="18">
        <v>42760</v>
      </c>
      <c r="B1121">
        <v>5.83</v>
      </c>
      <c r="C1121">
        <v>2.4289999999999998</v>
      </c>
      <c r="D1121">
        <v>2.2000000000000002</v>
      </c>
      <c r="E1121">
        <v>14</v>
      </c>
      <c r="F1121">
        <v>2</v>
      </c>
      <c r="G1121">
        <v>0</v>
      </c>
      <c r="H1121">
        <v>5</v>
      </c>
      <c r="I1121">
        <v>5</v>
      </c>
    </row>
    <row r="1122" spans="1:9" x14ac:dyDescent="0.25">
      <c r="A1122" s="18">
        <v>42761</v>
      </c>
      <c r="B1122">
        <v>8</v>
      </c>
      <c r="C1122">
        <v>6.9450000000000003</v>
      </c>
      <c r="D1122">
        <v>0.85</v>
      </c>
      <c r="E1122">
        <v>49.1</v>
      </c>
      <c r="F1122">
        <v>2</v>
      </c>
      <c r="G1122">
        <v>0</v>
      </c>
      <c r="H1122">
        <v>11</v>
      </c>
      <c r="I1122">
        <v>3</v>
      </c>
    </row>
    <row r="1123" spans="1:9" x14ac:dyDescent="0.25">
      <c r="A1123" s="18">
        <v>42762</v>
      </c>
      <c r="B1123">
        <v>5.33</v>
      </c>
      <c r="C1123">
        <v>8.67</v>
      </c>
      <c r="D1123">
        <v>3</v>
      </c>
      <c r="E1123">
        <v>19.600000000000001</v>
      </c>
      <c r="F1123">
        <v>8</v>
      </c>
      <c r="G1123">
        <v>0</v>
      </c>
      <c r="H1123">
        <v>6</v>
      </c>
      <c r="I1123">
        <v>0</v>
      </c>
    </row>
    <row r="1124" spans="1:9" x14ac:dyDescent="0.25">
      <c r="A1124" s="18">
        <v>42763</v>
      </c>
      <c r="B1124">
        <v>6.33</v>
      </c>
      <c r="C1124">
        <v>4</v>
      </c>
      <c r="D1124">
        <v>4.1500000000000004</v>
      </c>
      <c r="E1124">
        <v>17</v>
      </c>
      <c r="F1124">
        <v>10</v>
      </c>
      <c r="G1124">
        <v>1</v>
      </c>
      <c r="H1124">
        <v>2</v>
      </c>
      <c r="I1124">
        <v>1</v>
      </c>
    </row>
    <row r="1125" spans="1:9" x14ac:dyDescent="0.25">
      <c r="A1125" s="18">
        <v>42764</v>
      </c>
      <c r="B1125">
        <v>5.33</v>
      </c>
      <c r="C1125">
        <v>6.1219999999999999</v>
      </c>
      <c r="D1125">
        <v>3.4</v>
      </c>
      <c r="E1125">
        <v>24</v>
      </c>
      <c r="F1125">
        <v>3</v>
      </c>
      <c r="G1125">
        <v>0</v>
      </c>
      <c r="H1125">
        <v>7</v>
      </c>
      <c r="I1125">
        <v>3</v>
      </c>
    </row>
    <row r="1126" spans="1:9" x14ac:dyDescent="0.25">
      <c r="A1126" s="18">
        <v>42765</v>
      </c>
      <c r="B1126">
        <v>8.5</v>
      </c>
      <c r="C1126">
        <v>4</v>
      </c>
      <c r="D1126">
        <v>7</v>
      </c>
      <c r="E1126">
        <v>20.7</v>
      </c>
      <c r="F1126">
        <v>6</v>
      </c>
      <c r="G1126">
        <v>0</v>
      </c>
      <c r="H1126">
        <v>10</v>
      </c>
      <c r="I1126">
        <v>2</v>
      </c>
    </row>
    <row r="1127" spans="1:9" x14ac:dyDescent="0.25">
      <c r="A1127" s="18">
        <v>42766</v>
      </c>
      <c r="B1127">
        <v>4.33</v>
      </c>
      <c r="C1127">
        <v>5.66</v>
      </c>
      <c r="D1127">
        <v>7.5</v>
      </c>
      <c r="E1127">
        <v>22.9</v>
      </c>
      <c r="F1127">
        <v>18</v>
      </c>
      <c r="G1127">
        <v>0</v>
      </c>
      <c r="H1127">
        <v>13</v>
      </c>
      <c r="I1127">
        <v>1</v>
      </c>
    </row>
    <row r="1128" spans="1:9" x14ac:dyDescent="0.25">
      <c r="A1128" s="18">
        <v>42767</v>
      </c>
      <c r="B1128">
        <v>4.34</v>
      </c>
      <c r="C1128">
        <v>1.67</v>
      </c>
      <c r="D1128">
        <v>4</v>
      </c>
      <c r="E1128">
        <v>36</v>
      </c>
      <c r="F1128">
        <v>4</v>
      </c>
      <c r="G1128">
        <v>0</v>
      </c>
      <c r="H1128">
        <v>5</v>
      </c>
      <c r="I1128">
        <v>2</v>
      </c>
    </row>
    <row r="1129" spans="1:9" x14ac:dyDescent="0.25">
      <c r="A1129" s="18">
        <v>42768</v>
      </c>
      <c r="B1129">
        <v>3.9824999999999999</v>
      </c>
      <c r="C1129">
        <v>4</v>
      </c>
      <c r="D1129">
        <v>6.35</v>
      </c>
      <c r="E1129">
        <v>21.5</v>
      </c>
      <c r="F1129">
        <v>4</v>
      </c>
      <c r="G1129">
        <v>0</v>
      </c>
      <c r="H1129">
        <v>0</v>
      </c>
      <c r="I1129">
        <v>1</v>
      </c>
    </row>
    <row r="1130" spans="1:9" x14ac:dyDescent="0.25">
      <c r="A1130" s="18">
        <v>42769</v>
      </c>
      <c r="B1130">
        <v>5.99</v>
      </c>
      <c r="C1130">
        <v>4.34</v>
      </c>
      <c r="D1130">
        <v>7.3</v>
      </c>
      <c r="E1130">
        <v>62.2</v>
      </c>
      <c r="F1130">
        <v>14</v>
      </c>
      <c r="G1130">
        <v>0</v>
      </c>
      <c r="H1130">
        <v>2</v>
      </c>
      <c r="I1130">
        <v>1</v>
      </c>
    </row>
    <row r="1131" spans="1:9" x14ac:dyDescent="0.25">
      <c r="A1131" s="18">
        <v>42770</v>
      </c>
      <c r="B1131">
        <v>5.33</v>
      </c>
      <c r="C1131">
        <v>6.1120000000000001</v>
      </c>
      <c r="D1131">
        <v>5</v>
      </c>
      <c r="E1131">
        <v>47.462000000000003</v>
      </c>
      <c r="F1131">
        <v>3</v>
      </c>
      <c r="G1131">
        <v>0</v>
      </c>
      <c r="H1131">
        <v>2</v>
      </c>
      <c r="I1131">
        <v>0</v>
      </c>
    </row>
    <row r="1132" spans="1:9" x14ac:dyDescent="0.25">
      <c r="A1132" s="18">
        <v>42771</v>
      </c>
      <c r="B1132">
        <v>10.67</v>
      </c>
      <c r="C1132">
        <v>10.725</v>
      </c>
      <c r="D1132">
        <v>5</v>
      </c>
      <c r="E1132">
        <v>38.6</v>
      </c>
      <c r="F1132">
        <v>1</v>
      </c>
      <c r="G1132">
        <v>0</v>
      </c>
      <c r="H1132">
        <v>11</v>
      </c>
      <c r="I1132">
        <v>1.1000000000000001</v>
      </c>
    </row>
    <row r="1133" spans="1:9" x14ac:dyDescent="0.25">
      <c r="A1133" s="18">
        <v>42772</v>
      </c>
      <c r="B1133">
        <v>10</v>
      </c>
      <c r="C1133">
        <v>5</v>
      </c>
      <c r="D1133">
        <v>4.4000000000000004</v>
      </c>
      <c r="E1133">
        <v>13</v>
      </c>
      <c r="F1133">
        <v>3</v>
      </c>
      <c r="G1133">
        <v>2</v>
      </c>
      <c r="H1133">
        <v>5</v>
      </c>
      <c r="I1133">
        <v>0</v>
      </c>
    </row>
    <row r="1134" spans="1:9" x14ac:dyDescent="0.25">
      <c r="A1134" s="18">
        <v>42773</v>
      </c>
      <c r="B1134">
        <v>3</v>
      </c>
      <c r="C1134">
        <v>0.33</v>
      </c>
      <c r="D1134">
        <v>3.5</v>
      </c>
      <c r="E1134">
        <v>13.8</v>
      </c>
      <c r="F1134">
        <v>3</v>
      </c>
      <c r="G1134">
        <v>0</v>
      </c>
      <c r="H1134">
        <v>7</v>
      </c>
      <c r="I1134">
        <v>2</v>
      </c>
    </row>
    <row r="1135" spans="1:9" x14ac:dyDescent="0.25">
      <c r="A1135" s="18">
        <v>42774</v>
      </c>
      <c r="B1135">
        <v>11</v>
      </c>
      <c r="C1135">
        <v>1.67</v>
      </c>
      <c r="D1135">
        <v>4</v>
      </c>
      <c r="E1135">
        <v>36</v>
      </c>
      <c r="F1135">
        <v>7</v>
      </c>
      <c r="G1135">
        <v>0</v>
      </c>
      <c r="H1135">
        <v>10</v>
      </c>
      <c r="I1135">
        <v>2</v>
      </c>
    </row>
    <row r="1136" spans="1:9" x14ac:dyDescent="0.25">
      <c r="A1136" s="18">
        <v>42775</v>
      </c>
      <c r="B1136">
        <v>3.9824999999999999</v>
      </c>
      <c r="C1136">
        <v>1.76</v>
      </c>
      <c r="D1136">
        <v>4</v>
      </c>
      <c r="E1136">
        <v>20.399999999999999</v>
      </c>
      <c r="F1136">
        <v>6</v>
      </c>
      <c r="G1136">
        <v>0</v>
      </c>
      <c r="H1136">
        <v>0</v>
      </c>
      <c r="I1136">
        <v>1</v>
      </c>
    </row>
    <row r="1137" spans="1:9" x14ac:dyDescent="0.25">
      <c r="A1137" s="18">
        <v>42776</v>
      </c>
      <c r="B1137">
        <v>4.01</v>
      </c>
      <c r="C1137">
        <v>3.34</v>
      </c>
      <c r="D1137">
        <v>4.75</v>
      </c>
      <c r="E1137">
        <v>23.2</v>
      </c>
      <c r="F1137">
        <v>5</v>
      </c>
      <c r="G1137">
        <v>0</v>
      </c>
      <c r="H1137">
        <v>2</v>
      </c>
      <c r="I1137">
        <v>0</v>
      </c>
    </row>
    <row r="1138" spans="1:9" x14ac:dyDescent="0.25">
      <c r="A1138" s="18">
        <v>42777</v>
      </c>
      <c r="B1138">
        <v>5.33</v>
      </c>
      <c r="C1138">
        <v>6.32</v>
      </c>
      <c r="D1138">
        <v>5.0999999999999996</v>
      </c>
      <c r="E1138">
        <v>12.4</v>
      </c>
      <c r="F1138">
        <v>11</v>
      </c>
      <c r="G1138">
        <v>1</v>
      </c>
      <c r="H1138">
        <v>1</v>
      </c>
      <c r="I1138">
        <v>3</v>
      </c>
    </row>
    <row r="1139" spans="1:9" x14ac:dyDescent="0.25">
      <c r="A1139" s="18">
        <v>42778</v>
      </c>
      <c r="B1139">
        <v>10</v>
      </c>
      <c r="C1139">
        <v>10.67</v>
      </c>
      <c r="D1139">
        <v>7.8</v>
      </c>
      <c r="E1139">
        <v>27.4</v>
      </c>
      <c r="F1139">
        <v>4</v>
      </c>
      <c r="G1139">
        <v>0</v>
      </c>
      <c r="H1139">
        <v>2</v>
      </c>
      <c r="I1139">
        <v>1</v>
      </c>
    </row>
    <row r="1140" spans="1:9" x14ac:dyDescent="0.25">
      <c r="A1140" s="18">
        <v>42779</v>
      </c>
      <c r="B1140">
        <v>3.34</v>
      </c>
      <c r="C1140">
        <v>5.33</v>
      </c>
      <c r="D1140">
        <v>8.5</v>
      </c>
      <c r="E1140">
        <v>16.399999999999999</v>
      </c>
      <c r="F1140">
        <v>2</v>
      </c>
      <c r="G1140">
        <v>0</v>
      </c>
      <c r="H1140">
        <v>0</v>
      </c>
      <c r="I1140">
        <v>0</v>
      </c>
    </row>
    <row r="1141" spans="1:9" x14ac:dyDescent="0.25">
      <c r="A1141" s="18">
        <v>42780</v>
      </c>
      <c r="B1141">
        <v>4.33</v>
      </c>
      <c r="C1141">
        <v>5</v>
      </c>
      <c r="D1141">
        <v>2.1</v>
      </c>
      <c r="E1141">
        <v>22</v>
      </c>
      <c r="F1141">
        <v>0</v>
      </c>
      <c r="G1141">
        <v>0</v>
      </c>
      <c r="H1141">
        <v>1</v>
      </c>
      <c r="I1141">
        <v>1</v>
      </c>
    </row>
    <row r="1142" spans="1:9" x14ac:dyDescent="0.25">
      <c r="A1142" s="18">
        <v>42781</v>
      </c>
      <c r="B1142">
        <v>6</v>
      </c>
      <c r="C1142">
        <v>2.67</v>
      </c>
      <c r="D1142">
        <v>2</v>
      </c>
      <c r="E1142">
        <v>19.2</v>
      </c>
      <c r="F1142">
        <v>1</v>
      </c>
      <c r="G1142">
        <v>0</v>
      </c>
      <c r="H1142">
        <v>1</v>
      </c>
      <c r="I1142">
        <v>1</v>
      </c>
    </row>
    <row r="1143" spans="1:9" x14ac:dyDescent="0.25">
      <c r="A1143" s="18">
        <v>42782</v>
      </c>
      <c r="B1143">
        <v>3.66</v>
      </c>
      <c r="C1143">
        <v>4.66</v>
      </c>
      <c r="D1143">
        <v>1</v>
      </c>
      <c r="E1143">
        <v>31.6</v>
      </c>
      <c r="F1143">
        <v>2</v>
      </c>
      <c r="G1143">
        <v>0</v>
      </c>
      <c r="H1143">
        <v>0</v>
      </c>
      <c r="I1143">
        <v>3</v>
      </c>
    </row>
    <row r="1144" spans="1:9" x14ac:dyDescent="0.25">
      <c r="A1144" s="18">
        <v>42783</v>
      </c>
      <c r="B1144">
        <v>3</v>
      </c>
      <c r="C1144">
        <v>2.802</v>
      </c>
      <c r="D1144">
        <v>2.1</v>
      </c>
      <c r="E1144">
        <v>12.25</v>
      </c>
      <c r="F1144">
        <v>4</v>
      </c>
      <c r="G1144">
        <v>0</v>
      </c>
      <c r="H1144">
        <v>8</v>
      </c>
      <c r="I1144">
        <v>1.2</v>
      </c>
    </row>
    <row r="1145" spans="1:9" x14ac:dyDescent="0.25">
      <c r="A1145" s="18">
        <v>42784</v>
      </c>
      <c r="B1145">
        <v>7</v>
      </c>
      <c r="C1145">
        <v>4</v>
      </c>
      <c r="D1145">
        <v>2.35</v>
      </c>
      <c r="E1145">
        <v>30</v>
      </c>
      <c r="F1145">
        <v>10</v>
      </c>
      <c r="G1145">
        <v>0</v>
      </c>
      <c r="H1145">
        <v>0</v>
      </c>
      <c r="I1145">
        <v>3.1</v>
      </c>
    </row>
    <row r="1146" spans="1:9" x14ac:dyDescent="0.25">
      <c r="A1146" s="18">
        <v>42785</v>
      </c>
      <c r="B1146">
        <v>3.34</v>
      </c>
      <c r="C1146">
        <v>3.516</v>
      </c>
      <c r="D1146">
        <v>2.2000000000000002</v>
      </c>
      <c r="E1146">
        <v>13</v>
      </c>
      <c r="F1146">
        <v>1</v>
      </c>
      <c r="G1146">
        <v>0</v>
      </c>
      <c r="H1146">
        <v>8</v>
      </c>
      <c r="I1146">
        <v>1</v>
      </c>
    </row>
    <row r="1147" spans="1:9" x14ac:dyDescent="0.25">
      <c r="A1147" s="18">
        <v>42786</v>
      </c>
      <c r="B1147">
        <v>5</v>
      </c>
      <c r="C1147">
        <v>3.76</v>
      </c>
      <c r="D1147">
        <v>4.5</v>
      </c>
      <c r="E1147">
        <v>33.1</v>
      </c>
      <c r="F1147">
        <v>2</v>
      </c>
      <c r="G1147">
        <v>0</v>
      </c>
      <c r="H1147">
        <v>1</v>
      </c>
      <c r="I1147">
        <v>3</v>
      </c>
    </row>
    <row r="1148" spans="1:9" x14ac:dyDescent="0.25">
      <c r="A1148" s="18">
        <v>42787</v>
      </c>
      <c r="B1148">
        <v>5</v>
      </c>
      <c r="C1148">
        <v>4.1550000000000002</v>
      </c>
      <c r="D1148">
        <v>4</v>
      </c>
      <c r="E1148">
        <v>22.9</v>
      </c>
      <c r="F1148">
        <v>14</v>
      </c>
      <c r="G1148">
        <v>0</v>
      </c>
      <c r="H1148">
        <v>8</v>
      </c>
      <c r="I1148">
        <v>1</v>
      </c>
    </row>
    <row r="1149" spans="1:9" x14ac:dyDescent="0.25">
      <c r="A1149" s="18">
        <v>42788</v>
      </c>
      <c r="B1149">
        <v>3.67</v>
      </c>
      <c r="C1149">
        <v>2.4289999999999998</v>
      </c>
      <c r="D1149">
        <v>7.2</v>
      </c>
      <c r="E1149">
        <v>21.1</v>
      </c>
      <c r="F1149">
        <v>9</v>
      </c>
      <c r="G1149">
        <v>0</v>
      </c>
      <c r="H1149">
        <v>5</v>
      </c>
      <c r="I1149">
        <v>0</v>
      </c>
    </row>
    <row r="1150" spans="1:9" x14ac:dyDescent="0.25">
      <c r="A1150" s="18">
        <v>42789</v>
      </c>
      <c r="B1150">
        <v>6.67</v>
      </c>
      <c r="C1150">
        <v>5.67</v>
      </c>
      <c r="D1150">
        <v>4.05</v>
      </c>
      <c r="E1150">
        <v>24.1</v>
      </c>
      <c r="F1150">
        <v>5</v>
      </c>
      <c r="G1150">
        <v>1</v>
      </c>
      <c r="H1150">
        <v>8</v>
      </c>
      <c r="I1150">
        <v>2</v>
      </c>
    </row>
    <row r="1151" spans="1:9" x14ac:dyDescent="0.25">
      <c r="A1151" s="18">
        <v>42790</v>
      </c>
      <c r="B1151">
        <v>1</v>
      </c>
      <c r="C1151">
        <v>4.67</v>
      </c>
      <c r="D1151">
        <v>4</v>
      </c>
      <c r="E1151">
        <v>29.8</v>
      </c>
      <c r="F1151">
        <v>10</v>
      </c>
      <c r="G1151">
        <v>1</v>
      </c>
      <c r="H1151">
        <v>7</v>
      </c>
      <c r="I1151">
        <v>1</v>
      </c>
    </row>
    <row r="1152" spans="1:9" x14ac:dyDescent="0.25">
      <c r="A1152" s="18">
        <v>42791</v>
      </c>
      <c r="B1152">
        <v>6</v>
      </c>
      <c r="C1152">
        <v>6.34</v>
      </c>
      <c r="D1152">
        <v>5.25</v>
      </c>
      <c r="E1152">
        <v>24</v>
      </c>
      <c r="F1152">
        <v>6.875</v>
      </c>
      <c r="G1152">
        <v>0</v>
      </c>
      <c r="H1152">
        <v>2</v>
      </c>
      <c r="I1152">
        <v>0</v>
      </c>
    </row>
    <row r="1153" spans="1:9" x14ac:dyDescent="0.25">
      <c r="A1153" s="18">
        <v>42792</v>
      </c>
      <c r="B1153">
        <v>5.33</v>
      </c>
      <c r="C1153">
        <v>5.33</v>
      </c>
      <c r="D1153">
        <v>3.2</v>
      </c>
      <c r="E1153">
        <v>15.7</v>
      </c>
      <c r="F1153">
        <v>3</v>
      </c>
      <c r="G1153">
        <v>0</v>
      </c>
      <c r="H1153">
        <v>5</v>
      </c>
      <c r="I1153">
        <v>1.2</v>
      </c>
    </row>
    <row r="1154" spans="1:9" x14ac:dyDescent="0.25">
      <c r="A1154" s="18">
        <v>42793</v>
      </c>
      <c r="B1154">
        <v>5.67</v>
      </c>
      <c r="C1154">
        <v>3.68</v>
      </c>
      <c r="D1154">
        <v>7</v>
      </c>
      <c r="E1154">
        <v>16.399999999999999</v>
      </c>
      <c r="F1154">
        <v>14</v>
      </c>
      <c r="G1154">
        <v>0</v>
      </c>
      <c r="H1154">
        <v>7</v>
      </c>
      <c r="I1154">
        <v>2</v>
      </c>
    </row>
    <row r="1155" spans="1:9" x14ac:dyDescent="0.25">
      <c r="A1155" s="18">
        <v>42794</v>
      </c>
      <c r="B1155">
        <v>5.34</v>
      </c>
      <c r="C1155">
        <v>5.0199999999999996</v>
      </c>
      <c r="D1155">
        <v>7.5</v>
      </c>
      <c r="E1155">
        <v>26.4</v>
      </c>
      <c r="F1155">
        <v>9</v>
      </c>
      <c r="G1155">
        <v>2</v>
      </c>
      <c r="H1155">
        <v>18</v>
      </c>
      <c r="I1155">
        <v>0</v>
      </c>
    </row>
    <row r="1156" spans="1:9" x14ac:dyDescent="0.25">
      <c r="A1156" s="18">
        <v>42795</v>
      </c>
      <c r="B1156">
        <v>4</v>
      </c>
      <c r="C1156">
        <v>4.66</v>
      </c>
      <c r="D1156">
        <v>5</v>
      </c>
      <c r="E1156">
        <v>15.1</v>
      </c>
      <c r="F1156">
        <v>17</v>
      </c>
      <c r="G1156">
        <v>0</v>
      </c>
      <c r="H1156">
        <v>5</v>
      </c>
      <c r="I1156">
        <v>2</v>
      </c>
    </row>
    <row r="1157" spans="1:9" x14ac:dyDescent="0.25">
      <c r="A1157" s="18">
        <v>42796</v>
      </c>
      <c r="B1157">
        <v>5</v>
      </c>
      <c r="C1157">
        <v>7.13</v>
      </c>
      <c r="D1157">
        <v>3</v>
      </c>
      <c r="E1157">
        <v>13</v>
      </c>
      <c r="F1157">
        <v>1</v>
      </c>
      <c r="G1157">
        <v>1</v>
      </c>
      <c r="H1157">
        <v>1</v>
      </c>
      <c r="I1157">
        <v>2</v>
      </c>
    </row>
    <row r="1158" spans="1:9" x14ac:dyDescent="0.25">
      <c r="A1158" s="18">
        <v>42797</v>
      </c>
      <c r="B1158">
        <v>9</v>
      </c>
      <c r="C1158">
        <v>2.99</v>
      </c>
      <c r="D1158">
        <v>4</v>
      </c>
      <c r="E1158">
        <v>12.9</v>
      </c>
      <c r="F1158">
        <v>9</v>
      </c>
      <c r="G1158">
        <v>1</v>
      </c>
      <c r="H1158">
        <v>6</v>
      </c>
      <c r="I1158">
        <v>4</v>
      </c>
    </row>
    <row r="1159" spans="1:9" x14ac:dyDescent="0.25">
      <c r="A1159" s="18">
        <v>42798</v>
      </c>
      <c r="B1159">
        <v>5.01</v>
      </c>
      <c r="C1159">
        <v>3.67</v>
      </c>
      <c r="D1159">
        <v>3.1</v>
      </c>
      <c r="E1159">
        <v>17</v>
      </c>
      <c r="F1159">
        <v>0</v>
      </c>
      <c r="G1159">
        <v>0</v>
      </c>
      <c r="H1159">
        <v>5</v>
      </c>
      <c r="I1159">
        <v>4.5</v>
      </c>
    </row>
    <row r="1160" spans="1:9" x14ac:dyDescent="0.25">
      <c r="A1160" s="18">
        <v>42799</v>
      </c>
      <c r="B1160">
        <v>12.33</v>
      </c>
      <c r="C1160">
        <v>4.33</v>
      </c>
      <c r="D1160">
        <v>5</v>
      </c>
      <c r="E1160">
        <v>33.9</v>
      </c>
      <c r="F1160">
        <v>3</v>
      </c>
      <c r="G1160">
        <v>0</v>
      </c>
      <c r="H1160">
        <v>6</v>
      </c>
      <c r="I1160">
        <v>5</v>
      </c>
    </row>
    <row r="1161" spans="1:9" x14ac:dyDescent="0.25">
      <c r="A1161" s="18">
        <v>42800</v>
      </c>
      <c r="B1161">
        <v>6.83</v>
      </c>
      <c r="C1161">
        <v>2.33</v>
      </c>
      <c r="D1161">
        <v>1.1000000000000001</v>
      </c>
      <c r="E1161">
        <v>19.600000000000001</v>
      </c>
      <c r="F1161">
        <v>1</v>
      </c>
      <c r="G1161">
        <v>0</v>
      </c>
      <c r="H1161">
        <v>0</v>
      </c>
      <c r="I1161">
        <v>3</v>
      </c>
    </row>
    <row r="1162" spans="1:9" x14ac:dyDescent="0.25">
      <c r="A1162" s="18">
        <v>42801</v>
      </c>
      <c r="B1162">
        <v>2.34</v>
      </c>
      <c r="C1162">
        <v>5.33</v>
      </c>
      <c r="D1162">
        <v>6.5</v>
      </c>
      <c r="E1162">
        <v>15</v>
      </c>
      <c r="F1162">
        <v>4</v>
      </c>
      <c r="G1162">
        <v>0</v>
      </c>
      <c r="H1162">
        <v>0</v>
      </c>
      <c r="I1162">
        <v>2</v>
      </c>
    </row>
    <row r="1163" spans="1:9" x14ac:dyDescent="0.25">
      <c r="A1163" s="18">
        <v>42802</v>
      </c>
      <c r="B1163">
        <v>1</v>
      </c>
      <c r="C1163">
        <v>2.34</v>
      </c>
      <c r="D1163">
        <v>0</v>
      </c>
      <c r="E1163">
        <v>15.2</v>
      </c>
      <c r="F1163">
        <v>4</v>
      </c>
      <c r="G1163">
        <v>0</v>
      </c>
      <c r="H1163">
        <v>0</v>
      </c>
      <c r="I1163">
        <v>3</v>
      </c>
    </row>
    <row r="1164" spans="1:9" x14ac:dyDescent="0.25">
      <c r="A1164" s="18">
        <v>42803</v>
      </c>
      <c r="B1164">
        <v>11.33</v>
      </c>
      <c r="C1164">
        <v>2.33</v>
      </c>
      <c r="D1164">
        <v>6</v>
      </c>
      <c r="E1164">
        <v>26.9</v>
      </c>
      <c r="F1164">
        <v>6</v>
      </c>
      <c r="G1164">
        <v>1</v>
      </c>
      <c r="H1164">
        <v>0</v>
      </c>
      <c r="I1164">
        <v>2.5</v>
      </c>
    </row>
    <row r="1165" spans="1:9" x14ac:dyDescent="0.25">
      <c r="A1165" s="18">
        <v>42804</v>
      </c>
      <c r="B1165">
        <v>2</v>
      </c>
      <c r="C1165">
        <v>4.33</v>
      </c>
      <c r="D1165">
        <v>4.5999999999999996</v>
      </c>
      <c r="E1165">
        <v>26.3</v>
      </c>
      <c r="F1165">
        <v>8</v>
      </c>
      <c r="G1165">
        <v>1</v>
      </c>
      <c r="H1165">
        <v>0</v>
      </c>
      <c r="I1165">
        <v>1</v>
      </c>
    </row>
    <row r="1166" spans="1:9" x14ac:dyDescent="0.25">
      <c r="A1166" s="18">
        <v>42805</v>
      </c>
      <c r="B1166">
        <v>6.33</v>
      </c>
      <c r="C1166">
        <v>4.0659999999999998</v>
      </c>
      <c r="D1166">
        <v>6</v>
      </c>
      <c r="E1166">
        <v>20.100000000000001</v>
      </c>
      <c r="F1166">
        <v>2</v>
      </c>
      <c r="G1166">
        <v>1</v>
      </c>
      <c r="H1166">
        <v>5</v>
      </c>
      <c r="I1166">
        <v>3.5</v>
      </c>
    </row>
    <row r="1167" spans="1:9" x14ac:dyDescent="0.25">
      <c r="A1167" s="18">
        <v>42806</v>
      </c>
      <c r="B1167">
        <v>7.68</v>
      </c>
      <c r="C1167">
        <v>7.01</v>
      </c>
      <c r="D1167">
        <v>2</v>
      </c>
      <c r="E1167">
        <v>48</v>
      </c>
      <c r="F1167">
        <v>6</v>
      </c>
      <c r="G1167">
        <v>4</v>
      </c>
      <c r="H1167">
        <v>15</v>
      </c>
      <c r="I1167">
        <v>2</v>
      </c>
    </row>
    <row r="1168" spans="1:9" x14ac:dyDescent="0.25">
      <c r="A1168" s="18">
        <v>42807</v>
      </c>
      <c r="B1168">
        <v>2.33</v>
      </c>
      <c r="C1168">
        <v>0.68</v>
      </c>
      <c r="D1168">
        <v>2.7</v>
      </c>
      <c r="E1168">
        <v>17.8</v>
      </c>
      <c r="F1168">
        <v>2</v>
      </c>
      <c r="G1168">
        <v>0</v>
      </c>
      <c r="H1168">
        <v>10</v>
      </c>
      <c r="I1168">
        <v>0</v>
      </c>
    </row>
    <row r="1169" spans="1:9" x14ac:dyDescent="0.25">
      <c r="A1169" s="18">
        <v>42808</v>
      </c>
      <c r="B1169">
        <v>2.67</v>
      </c>
      <c r="C1169">
        <v>1.34</v>
      </c>
      <c r="D1169">
        <v>3</v>
      </c>
      <c r="E1169">
        <v>15</v>
      </c>
      <c r="F1169">
        <v>5</v>
      </c>
      <c r="G1169">
        <v>0</v>
      </c>
      <c r="H1169">
        <v>5</v>
      </c>
      <c r="I1169">
        <v>1</v>
      </c>
    </row>
    <row r="1170" spans="1:9" x14ac:dyDescent="0.25">
      <c r="A1170" s="18">
        <v>42809</v>
      </c>
      <c r="B1170">
        <v>3.66</v>
      </c>
      <c r="C1170">
        <v>1.7030000000000001</v>
      </c>
      <c r="D1170">
        <v>2.5</v>
      </c>
      <c r="E1170">
        <v>14.6</v>
      </c>
      <c r="F1170">
        <v>4</v>
      </c>
      <c r="G1170">
        <v>0</v>
      </c>
      <c r="H1170">
        <v>0</v>
      </c>
      <c r="I1170">
        <v>0</v>
      </c>
    </row>
    <row r="1171" spans="1:9" x14ac:dyDescent="0.25">
      <c r="A1171" s="18">
        <v>42810</v>
      </c>
      <c r="B1171">
        <v>6</v>
      </c>
      <c r="C1171">
        <v>4.056</v>
      </c>
      <c r="D1171">
        <v>4.75</v>
      </c>
      <c r="E1171">
        <v>28.2</v>
      </c>
      <c r="F1171">
        <v>4</v>
      </c>
      <c r="G1171">
        <v>0</v>
      </c>
      <c r="H1171">
        <v>1</v>
      </c>
      <c r="I1171">
        <v>3</v>
      </c>
    </row>
    <row r="1172" spans="1:9" x14ac:dyDescent="0.25">
      <c r="A1172" s="18">
        <v>42811</v>
      </c>
      <c r="B1172">
        <v>4.33</v>
      </c>
      <c r="C1172">
        <v>2.802</v>
      </c>
      <c r="D1172">
        <v>0</v>
      </c>
      <c r="E1172">
        <v>11</v>
      </c>
      <c r="F1172">
        <v>14</v>
      </c>
      <c r="G1172">
        <v>0</v>
      </c>
      <c r="H1172">
        <v>3</v>
      </c>
      <c r="I1172">
        <v>3</v>
      </c>
    </row>
    <row r="1173" spans="1:9" x14ac:dyDescent="0.25">
      <c r="A1173" s="18">
        <v>42812</v>
      </c>
      <c r="B1173">
        <v>5</v>
      </c>
      <c r="C1173">
        <v>4.38</v>
      </c>
      <c r="D1173">
        <v>4.25</v>
      </c>
      <c r="E1173">
        <v>20.399999999999999</v>
      </c>
      <c r="F1173">
        <v>3</v>
      </c>
      <c r="G1173">
        <v>0</v>
      </c>
      <c r="H1173">
        <v>1</v>
      </c>
      <c r="I1173">
        <v>1</v>
      </c>
    </row>
    <row r="1174" spans="1:9" x14ac:dyDescent="0.25">
      <c r="A1174" s="18">
        <v>42813</v>
      </c>
      <c r="B1174">
        <v>10</v>
      </c>
      <c r="C1174">
        <v>3.6930000000000001</v>
      </c>
      <c r="D1174">
        <v>2</v>
      </c>
      <c r="E1174">
        <v>39.1</v>
      </c>
      <c r="F1174">
        <v>3</v>
      </c>
      <c r="G1174">
        <v>0</v>
      </c>
      <c r="H1174">
        <v>5</v>
      </c>
      <c r="I1174">
        <v>3</v>
      </c>
    </row>
    <row r="1175" spans="1:9" x14ac:dyDescent="0.25">
      <c r="A1175" s="18">
        <v>42814</v>
      </c>
      <c r="B1175">
        <v>1.66</v>
      </c>
      <c r="C1175">
        <v>6.6829999999999998</v>
      </c>
      <c r="D1175">
        <v>4.7</v>
      </c>
      <c r="E1175">
        <v>16.100000000000001</v>
      </c>
      <c r="F1175">
        <v>3</v>
      </c>
      <c r="G1175">
        <v>0</v>
      </c>
      <c r="H1175">
        <v>7</v>
      </c>
      <c r="I1175">
        <v>3</v>
      </c>
    </row>
    <row r="1176" spans="1:9" x14ac:dyDescent="0.25">
      <c r="A1176" s="18">
        <v>42815</v>
      </c>
      <c r="B1176">
        <v>9.16</v>
      </c>
      <c r="C1176">
        <v>2.0299999999999998</v>
      </c>
      <c r="D1176">
        <v>2.2000000000000002</v>
      </c>
      <c r="E1176">
        <v>12.6</v>
      </c>
      <c r="F1176">
        <v>4</v>
      </c>
      <c r="G1176">
        <v>0</v>
      </c>
      <c r="H1176">
        <v>1</v>
      </c>
      <c r="I1176">
        <v>5.3</v>
      </c>
    </row>
    <row r="1177" spans="1:9" x14ac:dyDescent="0.25">
      <c r="A1177" s="18">
        <v>42816</v>
      </c>
      <c r="B1177">
        <v>1.66</v>
      </c>
      <c r="C1177">
        <v>5.0229999999999997</v>
      </c>
      <c r="D1177">
        <v>2</v>
      </c>
      <c r="E1177">
        <v>16.399999999999999</v>
      </c>
      <c r="F1177">
        <v>7</v>
      </c>
      <c r="G1177">
        <v>0</v>
      </c>
      <c r="H1177">
        <v>2</v>
      </c>
      <c r="I1177">
        <v>2</v>
      </c>
    </row>
    <row r="1178" spans="1:9" x14ac:dyDescent="0.25">
      <c r="A1178" s="18">
        <v>42817</v>
      </c>
      <c r="B1178">
        <v>7.34</v>
      </c>
      <c r="C1178">
        <v>2.133</v>
      </c>
      <c r="D1178">
        <v>1</v>
      </c>
      <c r="E1178">
        <v>13.3</v>
      </c>
      <c r="F1178">
        <v>8</v>
      </c>
      <c r="G1178">
        <v>0</v>
      </c>
      <c r="H1178">
        <v>6</v>
      </c>
      <c r="I1178">
        <v>3.5</v>
      </c>
    </row>
    <row r="1179" spans="1:9" x14ac:dyDescent="0.25">
      <c r="A1179" s="18">
        <v>42818</v>
      </c>
      <c r="B1179">
        <v>1.67</v>
      </c>
      <c r="C1179">
        <v>3</v>
      </c>
      <c r="D1179">
        <v>4.5</v>
      </c>
      <c r="E1179">
        <v>12.3</v>
      </c>
      <c r="F1179">
        <v>7</v>
      </c>
      <c r="G1179">
        <v>0</v>
      </c>
      <c r="H1179">
        <v>5</v>
      </c>
      <c r="I1179">
        <v>6.3</v>
      </c>
    </row>
    <row r="1180" spans="1:9" x14ac:dyDescent="0.25">
      <c r="A1180" s="18">
        <v>42819</v>
      </c>
      <c r="B1180">
        <v>10</v>
      </c>
      <c r="C1180">
        <v>5.49</v>
      </c>
      <c r="D1180">
        <v>1</v>
      </c>
      <c r="E1180">
        <v>33.299999999999997</v>
      </c>
      <c r="F1180">
        <v>3</v>
      </c>
      <c r="G1180">
        <v>0</v>
      </c>
      <c r="H1180">
        <v>0</v>
      </c>
      <c r="I1180">
        <v>4</v>
      </c>
    </row>
    <row r="1181" spans="1:9" x14ac:dyDescent="0.25">
      <c r="A1181" s="18">
        <v>42820</v>
      </c>
      <c r="B1181">
        <v>5.34</v>
      </c>
      <c r="C1181">
        <v>5.36</v>
      </c>
      <c r="D1181">
        <v>3.45</v>
      </c>
      <c r="E1181">
        <v>18</v>
      </c>
      <c r="F1181">
        <v>4</v>
      </c>
      <c r="G1181">
        <v>0</v>
      </c>
      <c r="H1181">
        <v>10</v>
      </c>
      <c r="I1181">
        <v>8</v>
      </c>
    </row>
    <row r="1182" spans="1:9" x14ac:dyDescent="0.25">
      <c r="A1182" s="18">
        <v>42821</v>
      </c>
      <c r="B1182">
        <v>4.84</v>
      </c>
      <c r="C1182">
        <v>3.4630000000000001</v>
      </c>
      <c r="D1182">
        <v>3.5</v>
      </c>
      <c r="E1182">
        <v>14.8</v>
      </c>
      <c r="F1182">
        <v>5</v>
      </c>
      <c r="G1182">
        <v>0</v>
      </c>
      <c r="H1182">
        <v>1</v>
      </c>
      <c r="I1182">
        <v>4</v>
      </c>
    </row>
    <row r="1183" spans="1:9" x14ac:dyDescent="0.25">
      <c r="A1183" s="18">
        <v>42822</v>
      </c>
      <c r="B1183">
        <v>2.67</v>
      </c>
      <c r="C1183">
        <v>2.67</v>
      </c>
      <c r="D1183">
        <v>7</v>
      </c>
      <c r="E1183">
        <v>22</v>
      </c>
      <c r="F1183">
        <v>14</v>
      </c>
      <c r="G1183">
        <v>0</v>
      </c>
      <c r="H1183">
        <v>0</v>
      </c>
      <c r="I1183">
        <v>6</v>
      </c>
    </row>
    <row r="1184" spans="1:9" x14ac:dyDescent="0.25">
      <c r="A1184" s="18">
        <v>42823</v>
      </c>
      <c r="B1184">
        <v>6.34</v>
      </c>
      <c r="C1184">
        <v>1.34</v>
      </c>
      <c r="D1184">
        <v>4</v>
      </c>
      <c r="E1184">
        <v>12.9</v>
      </c>
      <c r="F1184">
        <v>3</v>
      </c>
      <c r="G1184">
        <v>0</v>
      </c>
      <c r="H1184">
        <v>7</v>
      </c>
      <c r="I1184">
        <v>4.5</v>
      </c>
    </row>
    <row r="1185" spans="1:9" x14ac:dyDescent="0.25">
      <c r="A1185" s="18">
        <v>42824</v>
      </c>
      <c r="B1185">
        <v>1.33</v>
      </c>
      <c r="C1185">
        <v>2.6930000000000001</v>
      </c>
      <c r="D1185">
        <v>5</v>
      </c>
      <c r="E1185">
        <v>9.5</v>
      </c>
      <c r="F1185">
        <v>9</v>
      </c>
      <c r="G1185">
        <v>0</v>
      </c>
      <c r="H1185">
        <v>0</v>
      </c>
      <c r="I1185">
        <v>2</v>
      </c>
    </row>
    <row r="1186" spans="1:9" x14ac:dyDescent="0.25">
      <c r="A1186" s="18">
        <v>42825</v>
      </c>
      <c r="B1186">
        <v>4</v>
      </c>
      <c r="C1186">
        <v>2</v>
      </c>
      <c r="D1186">
        <v>3.5</v>
      </c>
      <c r="E1186">
        <v>22.2</v>
      </c>
      <c r="F1186">
        <v>2</v>
      </c>
      <c r="G1186">
        <v>0</v>
      </c>
      <c r="H1186">
        <v>2</v>
      </c>
      <c r="I1186">
        <v>6</v>
      </c>
    </row>
    <row r="1187" spans="1:9" x14ac:dyDescent="0.25">
      <c r="A1187" s="18">
        <v>42826</v>
      </c>
      <c r="B1187">
        <v>2.33</v>
      </c>
      <c r="C1187">
        <v>2</v>
      </c>
      <c r="D1187">
        <v>2</v>
      </c>
      <c r="E1187">
        <v>34</v>
      </c>
      <c r="F1187">
        <v>2</v>
      </c>
      <c r="G1187">
        <v>0</v>
      </c>
      <c r="H1187">
        <v>1</v>
      </c>
      <c r="I1187">
        <v>3</v>
      </c>
    </row>
    <row r="1188" spans="1:9" x14ac:dyDescent="0.25">
      <c r="A1188" s="18">
        <v>42827</v>
      </c>
      <c r="B1188">
        <v>6.67</v>
      </c>
      <c r="C1188">
        <v>4.2229999999999999</v>
      </c>
      <c r="D1188">
        <v>4</v>
      </c>
      <c r="E1188">
        <v>23</v>
      </c>
      <c r="F1188">
        <v>4</v>
      </c>
      <c r="G1188">
        <v>0</v>
      </c>
      <c r="H1188">
        <v>9</v>
      </c>
      <c r="I1188">
        <v>12.4</v>
      </c>
    </row>
    <row r="1189" spans="1:9" x14ac:dyDescent="0.25">
      <c r="A1189" s="18">
        <v>42828</v>
      </c>
      <c r="B1189">
        <v>6.33</v>
      </c>
      <c r="C1189">
        <v>1</v>
      </c>
      <c r="D1189">
        <v>5.6</v>
      </c>
      <c r="E1189">
        <v>25.6</v>
      </c>
      <c r="F1189">
        <v>8</v>
      </c>
      <c r="G1189">
        <v>0</v>
      </c>
      <c r="H1189">
        <v>20</v>
      </c>
      <c r="I1189">
        <v>3</v>
      </c>
    </row>
    <row r="1190" spans="1:9" x14ac:dyDescent="0.25">
      <c r="A1190" s="18">
        <v>42829</v>
      </c>
      <c r="B1190">
        <v>0.33</v>
      </c>
      <c r="C1190">
        <v>1.0329999999999999</v>
      </c>
      <c r="D1190">
        <v>2.2000000000000002</v>
      </c>
      <c r="E1190">
        <v>8</v>
      </c>
      <c r="F1190">
        <v>2</v>
      </c>
      <c r="G1190">
        <v>0</v>
      </c>
      <c r="H1190">
        <v>5</v>
      </c>
      <c r="I1190">
        <v>5.5</v>
      </c>
    </row>
    <row r="1191" spans="1:9" x14ac:dyDescent="0.25">
      <c r="A1191" s="18">
        <v>42830</v>
      </c>
      <c r="B1191">
        <v>5</v>
      </c>
      <c r="C1191">
        <v>0.23100000000000001</v>
      </c>
      <c r="D1191">
        <v>0.2</v>
      </c>
      <c r="E1191">
        <v>13.6</v>
      </c>
      <c r="F1191">
        <v>9</v>
      </c>
      <c r="G1191">
        <v>2</v>
      </c>
      <c r="H1191">
        <v>6</v>
      </c>
      <c r="I1191">
        <v>1</v>
      </c>
    </row>
    <row r="1192" spans="1:9" x14ac:dyDescent="0.25">
      <c r="A1192" s="18">
        <v>42831</v>
      </c>
      <c r="B1192">
        <v>5</v>
      </c>
      <c r="C1192">
        <v>0.66</v>
      </c>
      <c r="D1192">
        <v>3.1</v>
      </c>
      <c r="E1192">
        <v>10.9</v>
      </c>
      <c r="F1192">
        <v>4</v>
      </c>
      <c r="G1192">
        <v>1</v>
      </c>
      <c r="H1192">
        <v>0</v>
      </c>
      <c r="I1192">
        <v>1</v>
      </c>
    </row>
    <row r="1193" spans="1:9" x14ac:dyDescent="0.25">
      <c r="A1193" s="18">
        <v>42832</v>
      </c>
      <c r="B1193">
        <v>3.5</v>
      </c>
      <c r="C1193">
        <v>4</v>
      </c>
      <c r="D1193">
        <v>2</v>
      </c>
      <c r="E1193">
        <v>16</v>
      </c>
      <c r="F1193">
        <v>5</v>
      </c>
      <c r="G1193">
        <v>0</v>
      </c>
      <c r="H1193">
        <v>5</v>
      </c>
      <c r="I1193">
        <v>5</v>
      </c>
    </row>
    <row r="1194" spans="1:9" x14ac:dyDescent="0.25">
      <c r="A1194" s="18">
        <v>42833</v>
      </c>
      <c r="B1194">
        <v>7.51</v>
      </c>
      <c r="C1194">
        <v>8.7590000000000003</v>
      </c>
      <c r="D1194">
        <v>2.0499999999999998</v>
      </c>
      <c r="E1194">
        <v>23</v>
      </c>
      <c r="F1194">
        <v>3</v>
      </c>
      <c r="G1194">
        <v>0</v>
      </c>
      <c r="H1194">
        <v>11</v>
      </c>
      <c r="I1194">
        <v>6</v>
      </c>
    </row>
    <row r="1195" spans="1:9" x14ac:dyDescent="0.25">
      <c r="A1195" s="18">
        <v>42834</v>
      </c>
      <c r="B1195">
        <v>4.99</v>
      </c>
      <c r="C1195">
        <v>5.34</v>
      </c>
      <c r="D1195">
        <v>8.25</v>
      </c>
      <c r="E1195">
        <v>22</v>
      </c>
      <c r="F1195">
        <v>3</v>
      </c>
      <c r="G1195">
        <v>0</v>
      </c>
      <c r="H1195">
        <v>0</v>
      </c>
      <c r="I1195">
        <v>1</v>
      </c>
    </row>
    <row r="1196" spans="1:9" x14ac:dyDescent="0.25">
      <c r="A1196" s="18">
        <v>42835</v>
      </c>
      <c r="B1196">
        <v>8.66</v>
      </c>
      <c r="C1196">
        <v>1.363</v>
      </c>
      <c r="D1196">
        <v>1.05</v>
      </c>
      <c r="E1196">
        <v>27.5</v>
      </c>
      <c r="F1196">
        <v>1</v>
      </c>
      <c r="G1196">
        <v>0</v>
      </c>
      <c r="H1196">
        <v>4</v>
      </c>
      <c r="I1196">
        <v>4</v>
      </c>
    </row>
    <row r="1197" spans="1:9" x14ac:dyDescent="0.25">
      <c r="A1197" s="18">
        <v>42836</v>
      </c>
      <c r="B1197">
        <v>4</v>
      </c>
      <c r="C1197">
        <v>2.33</v>
      </c>
      <c r="D1197">
        <v>3</v>
      </c>
      <c r="E1197">
        <v>17</v>
      </c>
      <c r="F1197">
        <v>5</v>
      </c>
      <c r="G1197">
        <v>0</v>
      </c>
      <c r="H1197">
        <v>11</v>
      </c>
      <c r="I1197">
        <v>1</v>
      </c>
    </row>
    <row r="1198" spans="1:9" x14ac:dyDescent="0.25">
      <c r="A1198" s="18">
        <v>42837</v>
      </c>
      <c r="B1198">
        <v>11.99</v>
      </c>
      <c r="C1198">
        <v>3.32</v>
      </c>
      <c r="D1198">
        <v>3.35</v>
      </c>
      <c r="E1198">
        <v>11</v>
      </c>
      <c r="F1198">
        <v>10</v>
      </c>
      <c r="G1198">
        <v>2</v>
      </c>
      <c r="H1198">
        <v>10</v>
      </c>
      <c r="I1198">
        <v>4</v>
      </c>
    </row>
    <row r="1199" spans="1:9" x14ac:dyDescent="0.25">
      <c r="A1199" s="18">
        <v>42838</v>
      </c>
      <c r="B1199">
        <v>5</v>
      </c>
      <c r="C1199">
        <v>2.4390000000000001</v>
      </c>
      <c r="D1199">
        <v>2</v>
      </c>
      <c r="E1199">
        <v>30.9</v>
      </c>
      <c r="F1199">
        <v>1</v>
      </c>
      <c r="G1199">
        <v>0</v>
      </c>
      <c r="H1199">
        <v>2</v>
      </c>
      <c r="I1199">
        <v>5</v>
      </c>
    </row>
    <row r="1200" spans="1:9" x14ac:dyDescent="0.25">
      <c r="A1200" s="18">
        <v>42839</v>
      </c>
      <c r="B1200">
        <v>7.34</v>
      </c>
      <c r="C1200">
        <v>4.9800000000000004</v>
      </c>
      <c r="D1200">
        <v>5</v>
      </c>
      <c r="E1200">
        <v>13</v>
      </c>
      <c r="F1200">
        <v>3</v>
      </c>
      <c r="G1200">
        <v>0</v>
      </c>
      <c r="H1200">
        <v>16</v>
      </c>
      <c r="I1200">
        <v>4</v>
      </c>
    </row>
    <row r="1201" spans="1:9" x14ac:dyDescent="0.25">
      <c r="A1201" s="18">
        <v>42840</v>
      </c>
      <c r="B1201">
        <v>11.67</v>
      </c>
      <c r="C1201">
        <v>1.472</v>
      </c>
      <c r="D1201">
        <v>4</v>
      </c>
      <c r="E1201">
        <v>27.25</v>
      </c>
      <c r="F1201">
        <v>1</v>
      </c>
      <c r="G1201">
        <v>0</v>
      </c>
      <c r="H1201">
        <v>15</v>
      </c>
      <c r="I1201">
        <v>5.2</v>
      </c>
    </row>
    <row r="1202" spans="1:9" x14ac:dyDescent="0.25">
      <c r="A1202" s="18">
        <v>42841</v>
      </c>
      <c r="B1202">
        <v>5</v>
      </c>
      <c r="C1202">
        <v>4.0460000000000003</v>
      </c>
      <c r="D1202">
        <v>0</v>
      </c>
      <c r="E1202">
        <v>48</v>
      </c>
      <c r="F1202">
        <v>3</v>
      </c>
      <c r="G1202">
        <v>0</v>
      </c>
      <c r="H1202">
        <v>7</v>
      </c>
      <c r="I1202">
        <v>5</v>
      </c>
    </row>
    <row r="1203" spans="1:9" x14ac:dyDescent="0.25">
      <c r="A1203" s="18">
        <v>42842</v>
      </c>
      <c r="B1203">
        <v>4</v>
      </c>
      <c r="C1203">
        <v>3.99</v>
      </c>
      <c r="D1203">
        <v>1.9</v>
      </c>
      <c r="E1203">
        <v>18.399999999999999</v>
      </c>
      <c r="F1203">
        <v>1</v>
      </c>
      <c r="G1203">
        <v>0</v>
      </c>
      <c r="H1203">
        <v>5</v>
      </c>
      <c r="I1203">
        <v>1</v>
      </c>
    </row>
    <row r="1204" spans="1:9" x14ac:dyDescent="0.25">
      <c r="A1204" s="18">
        <v>42843</v>
      </c>
      <c r="B1204">
        <v>7.33</v>
      </c>
      <c r="C1204">
        <v>4.67</v>
      </c>
      <c r="D1204">
        <v>6.3</v>
      </c>
      <c r="E1204">
        <v>15.4</v>
      </c>
      <c r="F1204">
        <v>8</v>
      </c>
      <c r="G1204">
        <v>1</v>
      </c>
      <c r="H1204">
        <v>2</v>
      </c>
      <c r="I1204">
        <v>2</v>
      </c>
    </row>
    <row r="1205" spans="1:9" x14ac:dyDescent="0.25">
      <c r="A1205" s="18">
        <v>42844</v>
      </c>
      <c r="B1205">
        <v>1</v>
      </c>
      <c r="C1205">
        <v>3.4060000000000001</v>
      </c>
      <c r="D1205">
        <v>5</v>
      </c>
      <c r="E1205">
        <v>14</v>
      </c>
      <c r="F1205">
        <v>2</v>
      </c>
      <c r="G1205">
        <v>0</v>
      </c>
      <c r="H1205">
        <v>0</v>
      </c>
      <c r="I1205">
        <v>1</v>
      </c>
    </row>
    <row r="1206" spans="1:9" x14ac:dyDescent="0.25">
      <c r="A1206" s="18">
        <v>42845</v>
      </c>
      <c r="B1206">
        <v>4.66</v>
      </c>
      <c r="C1206">
        <v>2.33</v>
      </c>
      <c r="D1206">
        <v>5</v>
      </c>
      <c r="E1206">
        <v>9.4</v>
      </c>
      <c r="F1206">
        <v>10</v>
      </c>
      <c r="G1206">
        <v>0</v>
      </c>
      <c r="H1206">
        <v>7</v>
      </c>
      <c r="I1206">
        <v>2</v>
      </c>
    </row>
    <row r="1207" spans="1:9" x14ac:dyDescent="0.25">
      <c r="A1207" s="18">
        <v>42846</v>
      </c>
      <c r="B1207">
        <v>3.67</v>
      </c>
      <c r="C1207">
        <v>2.34</v>
      </c>
      <c r="D1207">
        <v>2.4</v>
      </c>
      <c r="E1207">
        <v>29</v>
      </c>
      <c r="F1207">
        <v>3</v>
      </c>
      <c r="G1207">
        <v>0</v>
      </c>
      <c r="H1207">
        <v>1.875</v>
      </c>
      <c r="I1207">
        <v>3</v>
      </c>
    </row>
    <row r="1208" spans="1:9" x14ac:dyDescent="0.25">
      <c r="A1208" s="18">
        <v>42847</v>
      </c>
      <c r="B1208">
        <v>2.64</v>
      </c>
      <c r="C1208">
        <v>4.66</v>
      </c>
      <c r="D1208">
        <v>2.8</v>
      </c>
      <c r="E1208">
        <v>19</v>
      </c>
      <c r="F1208">
        <v>7</v>
      </c>
      <c r="G1208">
        <v>1</v>
      </c>
      <c r="H1208">
        <v>1</v>
      </c>
      <c r="I1208">
        <v>2</v>
      </c>
    </row>
    <row r="1209" spans="1:9" x14ac:dyDescent="0.25">
      <c r="A1209" s="18">
        <v>42848</v>
      </c>
      <c r="B1209">
        <v>9</v>
      </c>
      <c r="C1209">
        <v>5.4160000000000004</v>
      </c>
      <c r="D1209">
        <v>3.6</v>
      </c>
      <c r="E1209">
        <v>25.5</v>
      </c>
      <c r="F1209">
        <v>7</v>
      </c>
      <c r="G1209">
        <v>0</v>
      </c>
      <c r="H1209">
        <v>1</v>
      </c>
      <c r="I1209">
        <v>5</v>
      </c>
    </row>
    <row r="1210" spans="1:9" x14ac:dyDescent="0.25">
      <c r="A1210" s="18">
        <v>42849</v>
      </c>
      <c r="B1210">
        <v>9.33</v>
      </c>
      <c r="C1210">
        <v>3.81</v>
      </c>
      <c r="D1210">
        <v>8</v>
      </c>
      <c r="E1210">
        <v>13.15</v>
      </c>
      <c r="F1210">
        <v>9</v>
      </c>
      <c r="G1210">
        <v>0</v>
      </c>
      <c r="H1210">
        <v>1</v>
      </c>
      <c r="I1210">
        <v>5</v>
      </c>
    </row>
    <row r="1211" spans="1:9" x14ac:dyDescent="0.25">
      <c r="A1211" s="18">
        <v>42850</v>
      </c>
      <c r="B1211">
        <v>8</v>
      </c>
      <c r="C1211">
        <v>2.99</v>
      </c>
      <c r="D1211">
        <v>2.2000000000000002</v>
      </c>
      <c r="E1211">
        <v>24</v>
      </c>
      <c r="F1211">
        <v>4</v>
      </c>
      <c r="G1211">
        <v>0</v>
      </c>
      <c r="H1211">
        <v>26</v>
      </c>
      <c r="I1211">
        <v>5</v>
      </c>
    </row>
    <row r="1212" spans="1:9" x14ac:dyDescent="0.25">
      <c r="A1212" s="18">
        <v>42851</v>
      </c>
      <c r="B1212">
        <v>3</v>
      </c>
      <c r="C1212">
        <v>4</v>
      </c>
      <c r="D1212">
        <v>3.5</v>
      </c>
      <c r="E1212">
        <v>10.199999999999999</v>
      </c>
      <c r="F1212">
        <v>3</v>
      </c>
      <c r="G1212">
        <v>0</v>
      </c>
      <c r="H1212">
        <v>1</v>
      </c>
      <c r="I1212">
        <v>8.3000000000000007</v>
      </c>
    </row>
    <row r="1213" spans="1:9" x14ac:dyDescent="0.25">
      <c r="A1213" s="18">
        <v>42852</v>
      </c>
      <c r="B1213">
        <v>3.33</v>
      </c>
      <c r="C1213">
        <v>3.7370000000000001</v>
      </c>
      <c r="D1213">
        <v>2.2999999999999998</v>
      </c>
      <c r="E1213">
        <v>11</v>
      </c>
      <c r="F1213">
        <v>10</v>
      </c>
      <c r="G1213">
        <v>1</v>
      </c>
      <c r="H1213">
        <v>0</v>
      </c>
      <c r="I1213">
        <v>10</v>
      </c>
    </row>
    <row r="1214" spans="1:9" x14ac:dyDescent="0.25">
      <c r="A1214" s="18">
        <v>42853</v>
      </c>
      <c r="B1214">
        <v>3.33</v>
      </c>
      <c r="C1214">
        <v>3.67</v>
      </c>
      <c r="D1214">
        <v>5.0999999999999996</v>
      </c>
      <c r="E1214">
        <v>15.4</v>
      </c>
      <c r="F1214">
        <v>2</v>
      </c>
      <c r="G1214">
        <v>0</v>
      </c>
      <c r="H1214">
        <v>7</v>
      </c>
      <c r="I1214">
        <v>7</v>
      </c>
    </row>
    <row r="1215" spans="1:9" x14ac:dyDescent="0.25">
      <c r="A1215" s="18">
        <v>42854</v>
      </c>
      <c r="B1215">
        <v>5</v>
      </c>
      <c r="C1215">
        <v>9</v>
      </c>
      <c r="D1215">
        <v>2.2999999999999998</v>
      </c>
      <c r="E1215">
        <v>15</v>
      </c>
      <c r="F1215">
        <v>3</v>
      </c>
      <c r="G1215">
        <v>1</v>
      </c>
      <c r="H1215">
        <v>1</v>
      </c>
      <c r="I1215">
        <v>8</v>
      </c>
    </row>
    <row r="1216" spans="1:9" x14ac:dyDescent="0.25">
      <c r="A1216" s="18">
        <v>42855</v>
      </c>
      <c r="B1216">
        <v>1</v>
      </c>
      <c r="C1216">
        <v>4.0460000000000003</v>
      </c>
      <c r="D1216">
        <v>2.2999999999999998</v>
      </c>
      <c r="E1216">
        <v>18</v>
      </c>
      <c r="F1216">
        <v>2</v>
      </c>
      <c r="G1216">
        <v>0</v>
      </c>
      <c r="H1216">
        <v>12</v>
      </c>
      <c r="I1216">
        <v>2</v>
      </c>
    </row>
    <row r="1217" spans="1:9" x14ac:dyDescent="0.25">
      <c r="A1217" s="18">
        <v>42856</v>
      </c>
      <c r="B1217">
        <v>0.34</v>
      </c>
      <c r="C1217">
        <v>1</v>
      </c>
      <c r="D1217">
        <v>1</v>
      </c>
      <c r="E1217">
        <v>1.2</v>
      </c>
      <c r="F1217">
        <v>0</v>
      </c>
      <c r="G1217">
        <v>0</v>
      </c>
      <c r="H1217">
        <v>0</v>
      </c>
      <c r="I1217">
        <v>1</v>
      </c>
    </row>
    <row r="1218" spans="1:9" x14ac:dyDescent="0.25">
      <c r="A1218" s="18">
        <v>42857</v>
      </c>
      <c r="B1218">
        <v>2</v>
      </c>
      <c r="C1218">
        <v>6.0330000000000004</v>
      </c>
      <c r="D1218">
        <v>1</v>
      </c>
      <c r="E1218">
        <v>23</v>
      </c>
      <c r="F1218">
        <v>5</v>
      </c>
      <c r="G1218">
        <v>0</v>
      </c>
      <c r="H1218">
        <v>6</v>
      </c>
      <c r="I1218">
        <v>5</v>
      </c>
    </row>
    <row r="1219" spans="1:9" x14ac:dyDescent="0.25">
      <c r="A1219" s="18">
        <v>42858</v>
      </c>
      <c r="B1219">
        <v>1.33</v>
      </c>
      <c r="C1219">
        <v>3.34</v>
      </c>
      <c r="D1219">
        <v>6</v>
      </c>
      <c r="E1219">
        <v>18.2</v>
      </c>
      <c r="F1219">
        <v>6</v>
      </c>
      <c r="G1219">
        <v>0</v>
      </c>
      <c r="H1219">
        <v>20</v>
      </c>
      <c r="I1219">
        <v>2</v>
      </c>
    </row>
    <row r="1220" spans="1:9" x14ac:dyDescent="0.25">
      <c r="A1220" s="18">
        <v>42859</v>
      </c>
      <c r="B1220">
        <v>5.67</v>
      </c>
      <c r="C1220">
        <v>5.66</v>
      </c>
      <c r="D1220">
        <v>1</v>
      </c>
      <c r="E1220">
        <v>11.6</v>
      </c>
      <c r="F1220">
        <v>4</v>
      </c>
      <c r="G1220">
        <v>0</v>
      </c>
      <c r="H1220">
        <v>2</v>
      </c>
      <c r="I1220">
        <v>4.0999999999999996</v>
      </c>
    </row>
    <row r="1221" spans="1:9" x14ac:dyDescent="0.25">
      <c r="A1221" s="18">
        <v>42860</v>
      </c>
      <c r="B1221">
        <v>2.34</v>
      </c>
      <c r="C1221">
        <v>5.33</v>
      </c>
      <c r="D1221">
        <v>1.1499999999999999</v>
      </c>
      <c r="E1221">
        <v>6.6</v>
      </c>
      <c r="F1221">
        <v>8</v>
      </c>
      <c r="G1221">
        <v>0</v>
      </c>
      <c r="H1221">
        <v>12</v>
      </c>
      <c r="I1221">
        <v>3</v>
      </c>
    </row>
    <row r="1222" spans="1:9" x14ac:dyDescent="0.25">
      <c r="A1222" s="18">
        <v>42861</v>
      </c>
      <c r="B1222">
        <v>7.33</v>
      </c>
      <c r="C1222">
        <v>2.363</v>
      </c>
      <c r="D1222">
        <v>4.4000000000000004</v>
      </c>
      <c r="E1222">
        <v>14</v>
      </c>
      <c r="F1222">
        <v>4</v>
      </c>
      <c r="G1222">
        <v>0</v>
      </c>
      <c r="H1222">
        <v>0</v>
      </c>
      <c r="I1222">
        <v>6</v>
      </c>
    </row>
    <row r="1223" spans="1:9" x14ac:dyDescent="0.25">
      <c r="A1223" s="18">
        <v>42862</v>
      </c>
      <c r="B1223">
        <v>6.33</v>
      </c>
      <c r="C1223">
        <v>3.67</v>
      </c>
      <c r="D1223">
        <v>4.5</v>
      </c>
      <c r="E1223">
        <v>18.25</v>
      </c>
      <c r="F1223">
        <v>3</v>
      </c>
      <c r="G1223">
        <v>0</v>
      </c>
      <c r="H1223">
        <v>4</v>
      </c>
      <c r="I1223">
        <v>4</v>
      </c>
    </row>
    <row r="1224" spans="1:9" x14ac:dyDescent="0.25">
      <c r="A1224" s="18">
        <v>42863</v>
      </c>
      <c r="B1224">
        <v>2.33</v>
      </c>
      <c r="C1224">
        <v>3.66</v>
      </c>
      <c r="D1224">
        <v>1</v>
      </c>
      <c r="E1224">
        <v>8</v>
      </c>
      <c r="F1224">
        <v>8</v>
      </c>
      <c r="G1224">
        <v>3</v>
      </c>
      <c r="H1224">
        <v>1</v>
      </c>
      <c r="I1224">
        <v>5.6</v>
      </c>
    </row>
    <row r="1225" spans="1:9" x14ac:dyDescent="0.25">
      <c r="A1225" s="18">
        <v>42864</v>
      </c>
      <c r="B1225">
        <v>7.33</v>
      </c>
      <c r="C1225">
        <v>4</v>
      </c>
      <c r="D1225">
        <v>4.0999999999999996</v>
      </c>
      <c r="E1225">
        <v>11</v>
      </c>
      <c r="F1225">
        <v>4</v>
      </c>
      <c r="G1225">
        <v>0</v>
      </c>
      <c r="H1225">
        <v>2</v>
      </c>
      <c r="I1225">
        <v>3</v>
      </c>
    </row>
    <row r="1226" spans="1:9" x14ac:dyDescent="0.25">
      <c r="A1226" s="18">
        <v>42865</v>
      </c>
      <c r="B1226">
        <v>8.66</v>
      </c>
      <c r="C1226">
        <v>0.39700000000000002</v>
      </c>
      <c r="D1226">
        <v>9</v>
      </c>
      <c r="E1226">
        <v>15</v>
      </c>
      <c r="F1226">
        <v>4</v>
      </c>
      <c r="G1226">
        <v>0</v>
      </c>
      <c r="H1226">
        <v>14</v>
      </c>
      <c r="I1226">
        <v>7</v>
      </c>
    </row>
    <row r="1227" spans="1:9" x14ac:dyDescent="0.25">
      <c r="A1227" s="18">
        <v>42866</v>
      </c>
      <c r="B1227">
        <v>6</v>
      </c>
      <c r="C1227">
        <v>6.6929999999999996</v>
      </c>
      <c r="D1227">
        <v>3</v>
      </c>
      <c r="E1227">
        <v>16</v>
      </c>
      <c r="F1227">
        <v>6</v>
      </c>
      <c r="G1227">
        <v>2</v>
      </c>
      <c r="H1227">
        <v>1</v>
      </c>
      <c r="I1227">
        <v>10</v>
      </c>
    </row>
    <row r="1228" spans="1:9" x14ac:dyDescent="0.25">
      <c r="A1228" s="18">
        <v>42867</v>
      </c>
      <c r="B1228">
        <v>4.99</v>
      </c>
      <c r="C1228">
        <v>4.7030000000000003</v>
      </c>
      <c r="D1228">
        <v>6</v>
      </c>
      <c r="E1228">
        <v>16.399999999999999</v>
      </c>
      <c r="F1228">
        <v>4</v>
      </c>
      <c r="G1228">
        <v>9</v>
      </c>
      <c r="H1228">
        <v>0</v>
      </c>
      <c r="I1228">
        <v>6</v>
      </c>
    </row>
    <row r="1229" spans="1:9" x14ac:dyDescent="0.25">
      <c r="A1229" s="18">
        <v>42868</v>
      </c>
      <c r="B1229">
        <v>5</v>
      </c>
      <c r="C1229">
        <v>2.363</v>
      </c>
      <c r="D1229">
        <v>6</v>
      </c>
      <c r="E1229">
        <v>12</v>
      </c>
      <c r="F1229">
        <v>4</v>
      </c>
      <c r="G1229">
        <v>0</v>
      </c>
      <c r="H1229">
        <v>1</v>
      </c>
      <c r="I1229">
        <v>7</v>
      </c>
    </row>
    <row r="1230" spans="1:9" x14ac:dyDescent="0.25">
      <c r="A1230" s="18">
        <v>42869</v>
      </c>
      <c r="B1230">
        <v>4.67</v>
      </c>
      <c r="C1230">
        <v>2.0760000000000001</v>
      </c>
      <c r="D1230">
        <v>2.85</v>
      </c>
      <c r="E1230">
        <v>31.5</v>
      </c>
      <c r="F1230">
        <v>6</v>
      </c>
      <c r="G1230">
        <v>0</v>
      </c>
      <c r="H1230">
        <v>5</v>
      </c>
      <c r="I1230">
        <v>2.1</v>
      </c>
    </row>
    <row r="1231" spans="1:9" x14ac:dyDescent="0.25">
      <c r="A1231" s="18">
        <v>42870</v>
      </c>
      <c r="B1231">
        <v>5.34</v>
      </c>
      <c r="C1231">
        <v>4.7030000000000003</v>
      </c>
      <c r="D1231">
        <v>2</v>
      </c>
      <c r="E1231">
        <v>17</v>
      </c>
      <c r="F1231">
        <v>0</v>
      </c>
      <c r="G1231">
        <v>3</v>
      </c>
      <c r="H1231">
        <v>3</v>
      </c>
      <c r="I1231">
        <v>7</v>
      </c>
    </row>
    <row r="1232" spans="1:9" x14ac:dyDescent="0.25">
      <c r="A1232" s="18">
        <v>42871</v>
      </c>
      <c r="B1232">
        <v>2.33</v>
      </c>
      <c r="C1232">
        <v>5.66</v>
      </c>
      <c r="D1232">
        <v>1.5</v>
      </c>
      <c r="E1232">
        <v>16.2</v>
      </c>
      <c r="F1232">
        <v>2</v>
      </c>
      <c r="G1232">
        <v>0</v>
      </c>
      <c r="H1232">
        <v>6</v>
      </c>
      <c r="I1232">
        <v>7</v>
      </c>
    </row>
    <row r="1233" spans="1:9" x14ac:dyDescent="0.25">
      <c r="A1233" s="18">
        <v>42872</v>
      </c>
      <c r="B1233">
        <v>6.34</v>
      </c>
      <c r="C1233">
        <v>4.84</v>
      </c>
      <c r="D1233">
        <v>0</v>
      </c>
      <c r="E1233">
        <v>9</v>
      </c>
      <c r="F1233">
        <v>5</v>
      </c>
      <c r="G1233">
        <v>0</v>
      </c>
      <c r="H1233">
        <v>0</v>
      </c>
      <c r="I1233">
        <v>2</v>
      </c>
    </row>
    <row r="1234" spans="1:9" x14ac:dyDescent="0.25">
      <c r="A1234" s="18">
        <v>42873</v>
      </c>
      <c r="B1234">
        <v>3.33</v>
      </c>
      <c r="C1234">
        <v>5.01</v>
      </c>
      <c r="D1234">
        <v>4</v>
      </c>
      <c r="E1234">
        <v>28.2</v>
      </c>
      <c r="F1234">
        <v>4</v>
      </c>
      <c r="G1234">
        <v>0</v>
      </c>
      <c r="H1234">
        <v>0</v>
      </c>
      <c r="I1234">
        <v>3</v>
      </c>
    </row>
    <row r="1235" spans="1:9" x14ac:dyDescent="0.25">
      <c r="A1235" s="18">
        <v>42874</v>
      </c>
      <c r="B1235">
        <v>4.34</v>
      </c>
      <c r="C1235">
        <v>3.44</v>
      </c>
      <c r="D1235">
        <v>2.2000000000000002</v>
      </c>
      <c r="E1235">
        <v>31.6</v>
      </c>
      <c r="F1235">
        <v>11</v>
      </c>
      <c r="G1235">
        <v>0</v>
      </c>
      <c r="H1235">
        <v>0</v>
      </c>
      <c r="I1235">
        <v>10</v>
      </c>
    </row>
    <row r="1236" spans="1:9" x14ac:dyDescent="0.25">
      <c r="A1236" s="18">
        <v>42875</v>
      </c>
      <c r="B1236">
        <v>3.99</v>
      </c>
      <c r="C1236">
        <v>4.7130000000000001</v>
      </c>
      <c r="D1236">
        <v>0.25</v>
      </c>
      <c r="E1236">
        <v>16.399999999999999</v>
      </c>
      <c r="F1236">
        <v>5</v>
      </c>
      <c r="G1236">
        <v>0</v>
      </c>
      <c r="H1236">
        <v>6</v>
      </c>
      <c r="I1236">
        <v>6</v>
      </c>
    </row>
    <row r="1237" spans="1:9" x14ac:dyDescent="0.25">
      <c r="A1237" s="18">
        <v>42876</v>
      </c>
      <c r="B1237">
        <v>6</v>
      </c>
      <c r="C1237">
        <v>3.0430000000000001</v>
      </c>
      <c r="D1237">
        <v>1.25</v>
      </c>
      <c r="E1237">
        <v>32.200000000000003</v>
      </c>
      <c r="F1237">
        <v>5</v>
      </c>
      <c r="G1237">
        <v>0</v>
      </c>
      <c r="H1237">
        <v>12</v>
      </c>
      <c r="I1237">
        <v>4</v>
      </c>
    </row>
    <row r="1238" spans="1:9" x14ac:dyDescent="0.25">
      <c r="A1238" s="18">
        <v>42877</v>
      </c>
      <c r="B1238">
        <v>5.33</v>
      </c>
      <c r="C1238">
        <v>1.34</v>
      </c>
      <c r="D1238">
        <v>4.4000000000000004</v>
      </c>
      <c r="E1238">
        <v>22.4</v>
      </c>
      <c r="F1238">
        <v>5</v>
      </c>
      <c r="G1238">
        <v>0</v>
      </c>
      <c r="H1238">
        <v>7</v>
      </c>
      <c r="I1238">
        <v>11</v>
      </c>
    </row>
    <row r="1239" spans="1:9" x14ac:dyDescent="0.25">
      <c r="A1239" s="18">
        <v>42878</v>
      </c>
      <c r="B1239">
        <v>3</v>
      </c>
      <c r="C1239">
        <v>2.4060000000000001</v>
      </c>
      <c r="D1239">
        <v>5</v>
      </c>
      <c r="E1239">
        <v>11</v>
      </c>
      <c r="F1239">
        <v>9</v>
      </c>
      <c r="G1239">
        <v>0</v>
      </c>
      <c r="H1239">
        <v>2</v>
      </c>
      <c r="I1239">
        <v>7</v>
      </c>
    </row>
    <row r="1240" spans="1:9" x14ac:dyDescent="0.25">
      <c r="A1240" s="18">
        <v>42879</v>
      </c>
      <c r="B1240">
        <v>6.68</v>
      </c>
      <c r="C1240">
        <v>3.34</v>
      </c>
      <c r="D1240">
        <v>3</v>
      </c>
      <c r="E1240">
        <v>14.2</v>
      </c>
      <c r="F1240">
        <v>9</v>
      </c>
      <c r="G1240">
        <v>0</v>
      </c>
      <c r="H1240">
        <v>4</v>
      </c>
      <c r="I1240">
        <v>4.71</v>
      </c>
    </row>
    <row r="1241" spans="1:9" x14ac:dyDescent="0.25">
      <c r="A1241" s="18">
        <v>42880</v>
      </c>
      <c r="B1241">
        <v>5.66</v>
      </c>
      <c r="C1241">
        <v>5.36</v>
      </c>
      <c r="D1241">
        <v>2</v>
      </c>
      <c r="E1241">
        <v>18.2</v>
      </c>
      <c r="F1241">
        <v>3</v>
      </c>
      <c r="G1241">
        <v>0</v>
      </c>
      <c r="H1241">
        <v>2</v>
      </c>
      <c r="I1241">
        <v>4.3</v>
      </c>
    </row>
    <row r="1242" spans="1:9" x14ac:dyDescent="0.25">
      <c r="A1242" s="18">
        <v>42881</v>
      </c>
      <c r="B1242">
        <v>2.34</v>
      </c>
      <c r="C1242">
        <v>3.67</v>
      </c>
      <c r="D1242">
        <v>5</v>
      </c>
      <c r="E1242">
        <v>29</v>
      </c>
      <c r="F1242">
        <v>4</v>
      </c>
      <c r="G1242">
        <v>0</v>
      </c>
      <c r="H1242">
        <v>8</v>
      </c>
      <c r="I1242">
        <v>2</v>
      </c>
    </row>
    <row r="1243" spans="1:9" x14ac:dyDescent="0.25">
      <c r="A1243" s="18">
        <v>42882</v>
      </c>
      <c r="B1243">
        <v>7.33</v>
      </c>
      <c r="C1243">
        <v>3.2210000000000001</v>
      </c>
      <c r="D1243">
        <v>2</v>
      </c>
      <c r="E1243">
        <v>23.4</v>
      </c>
      <c r="F1243">
        <v>5</v>
      </c>
      <c r="G1243">
        <v>0</v>
      </c>
      <c r="H1243">
        <v>0</v>
      </c>
      <c r="I1243">
        <v>10</v>
      </c>
    </row>
    <row r="1244" spans="1:9" x14ac:dyDescent="0.25">
      <c r="A1244" s="18">
        <v>42883</v>
      </c>
      <c r="B1244">
        <v>1.99</v>
      </c>
      <c r="C1244">
        <v>6.2430000000000003</v>
      </c>
      <c r="D1244">
        <v>2.4500000000000002</v>
      </c>
      <c r="E1244">
        <v>11.19</v>
      </c>
      <c r="F1244">
        <v>2</v>
      </c>
      <c r="G1244">
        <v>0</v>
      </c>
      <c r="H1244">
        <v>0</v>
      </c>
      <c r="I1244">
        <v>3</v>
      </c>
    </row>
    <row r="1245" spans="1:9" x14ac:dyDescent="0.25">
      <c r="A1245" s="18">
        <v>42884</v>
      </c>
      <c r="B1245">
        <v>3.34</v>
      </c>
      <c r="C1245">
        <v>4.0229999999999997</v>
      </c>
      <c r="D1245">
        <v>1.6</v>
      </c>
      <c r="E1245">
        <v>28</v>
      </c>
      <c r="F1245">
        <v>4</v>
      </c>
      <c r="G1245">
        <v>2</v>
      </c>
      <c r="H1245">
        <v>4</v>
      </c>
      <c r="I1245">
        <v>5</v>
      </c>
    </row>
    <row r="1246" spans="1:9" x14ac:dyDescent="0.25">
      <c r="A1246" s="18">
        <v>42885</v>
      </c>
      <c r="B1246">
        <v>8</v>
      </c>
      <c r="C1246">
        <v>3.3959999999999999</v>
      </c>
      <c r="D1246">
        <v>4.3</v>
      </c>
      <c r="E1246">
        <v>25</v>
      </c>
      <c r="F1246">
        <v>3</v>
      </c>
      <c r="G1246">
        <v>0</v>
      </c>
      <c r="H1246">
        <v>5</v>
      </c>
      <c r="I1246">
        <v>5</v>
      </c>
    </row>
    <row r="1247" spans="1:9" x14ac:dyDescent="0.25">
      <c r="A1247" s="18">
        <v>42886</v>
      </c>
      <c r="B1247">
        <v>4</v>
      </c>
      <c r="C1247">
        <v>2.4289999999999998</v>
      </c>
      <c r="D1247">
        <v>7</v>
      </c>
      <c r="E1247">
        <v>12.2</v>
      </c>
      <c r="F1247">
        <v>6</v>
      </c>
      <c r="G1247">
        <v>4</v>
      </c>
      <c r="H1247">
        <v>1</v>
      </c>
      <c r="I1247">
        <v>5</v>
      </c>
    </row>
    <row r="1248" spans="1:9" x14ac:dyDescent="0.25">
      <c r="A1248" s="18">
        <v>42887</v>
      </c>
      <c r="B1248">
        <v>1.34</v>
      </c>
      <c r="C1248">
        <v>3.67</v>
      </c>
      <c r="D1248">
        <v>2</v>
      </c>
      <c r="E1248">
        <v>21.4</v>
      </c>
      <c r="F1248">
        <v>10</v>
      </c>
      <c r="G1248">
        <v>0</v>
      </c>
      <c r="H1248">
        <v>2</v>
      </c>
      <c r="I1248">
        <v>2</v>
      </c>
    </row>
    <row r="1249" spans="1:9" x14ac:dyDescent="0.25">
      <c r="A1249" s="18">
        <v>42888</v>
      </c>
      <c r="B1249">
        <v>2.33</v>
      </c>
      <c r="C1249">
        <v>4</v>
      </c>
      <c r="D1249">
        <v>4</v>
      </c>
      <c r="E1249">
        <v>17.399999999999999</v>
      </c>
      <c r="F1249">
        <v>9</v>
      </c>
      <c r="G1249">
        <v>1</v>
      </c>
      <c r="H1249">
        <v>5</v>
      </c>
      <c r="I1249">
        <v>3</v>
      </c>
    </row>
    <row r="1250" spans="1:9" x14ac:dyDescent="0.25">
      <c r="A1250" s="18">
        <v>42889</v>
      </c>
      <c r="B1250">
        <v>5</v>
      </c>
      <c r="C1250">
        <v>1.726</v>
      </c>
      <c r="D1250">
        <v>3</v>
      </c>
      <c r="E1250">
        <v>10</v>
      </c>
      <c r="F1250">
        <v>3</v>
      </c>
      <c r="G1250">
        <v>1</v>
      </c>
      <c r="H1250">
        <v>22</v>
      </c>
      <c r="I1250">
        <v>2</v>
      </c>
    </row>
    <row r="1251" spans="1:9" x14ac:dyDescent="0.25">
      <c r="A1251" s="18">
        <v>42890</v>
      </c>
      <c r="B1251">
        <v>7</v>
      </c>
      <c r="C1251">
        <v>1.7470000000000001</v>
      </c>
      <c r="D1251">
        <v>2.25</v>
      </c>
      <c r="E1251">
        <v>23.4</v>
      </c>
      <c r="F1251">
        <v>3</v>
      </c>
      <c r="G1251">
        <v>1</v>
      </c>
      <c r="H1251">
        <v>5</v>
      </c>
      <c r="I1251">
        <v>4</v>
      </c>
    </row>
    <row r="1252" spans="1:9" x14ac:dyDescent="0.25">
      <c r="A1252" s="18">
        <v>42891</v>
      </c>
      <c r="B1252">
        <v>3.33</v>
      </c>
      <c r="C1252">
        <v>5.99</v>
      </c>
      <c r="D1252">
        <v>4.5</v>
      </c>
      <c r="E1252">
        <v>9.6999999999999993</v>
      </c>
      <c r="F1252">
        <v>5</v>
      </c>
      <c r="G1252">
        <v>0</v>
      </c>
      <c r="H1252">
        <v>0</v>
      </c>
      <c r="I1252">
        <v>8</v>
      </c>
    </row>
    <row r="1253" spans="1:9" x14ac:dyDescent="0.25">
      <c r="A1253" s="18">
        <v>42892</v>
      </c>
      <c r="B1253">
        <v>1</v>
      </c>
      <c r="C1253">
        <v>3</v>
      </c>
      <c r="D1253">
        <v>0</v>
      </c>
      <c r="E1253">
        <v>18</v>
      </c>
      <c r="F1253">
        <v>3</v>
      </c>
      <c r="G1253">
        <v>0</v>
      </c>
      <c r="H1253">
        <v>6</v>
      </c>
      <c r="I1253">
        <v>7.5</v>
      </c>
    </row>
    <row r="1254" spans="1:9" x14ac:dyDescent="0.25">
      <c r="A1254" s="18">
        <v>42893</v>
      </c>
      <c r="B1254">
        <v>5.33</v>
      </c>
      <c r="C1254">
        <v>4.6929999999999996</v>
      </c>
      <c r="D1254">
        <v>4</v>
      </c>
      <c r="E1254">
        <v>21</v>
      </c>
      <c r="F1254">
        <v>13</v>
      </c>
      <c r="G1254">
        <v>0</v>
      </c>
      <c r="H1254">
        <v>20</v>
      </c>
      <c r="I1254">
        <v>7</v>
      </c>
    </row>
    <row r="1255" spans="1:9" x14ac:dyDescent="0.25">
      <c r="A1255" s="18">
        <v>42894</v>
      </c>
      <c r="B1255">
        <v>5</v>
      </c>
      <c r="C1255">
        <v>1.823</v>
      </c>
      <c r="D1255">
        <v>3.15</v>
      </c>
      <c r="E1255">
        <v>21</v>
      </c>
      <c r="F1255">
        <v>4</v>
      </c>
      <c r="G1255">
        <v>0</v>
      </c>
      <c r="H1255">
        <v>2</v>
      </c>
      <c r="I1255">
        <v>4.2</v>
      </c>
    </row>
    <row r="1256" spans="1:9" x14ac:dyDescent="0.25">
      <c r="A1256" s="18">
        <v>42895</v>
      </c>
      <c r="B1256">
        <v>1.33</v>
      </c>
      <c r="C1256">
        <v>4.09</v>
      </c>
      <c r="D1256">
        <v>3.1</v>
      </c>
      <c r="E1256">
        <v>10</v>
      </c>
      <c r="F1256">
        <v>2</v>
      </c>
      <c r="G1256">
        <v>0</v>
      </c>
      <c r="H1256">
        <v>0</v>
      </c>
      <c r="I1256">
        <v>6</v>
      </c>
    </row>
    <row r="1257" spans="1:9" x14ac:dyDescent="0.25">
      <c r="A1257" s="18">
        <v>42896</v>
      </c>
      <c r="B1257">
        <v>9</v>
      </c>
      <c r="C1257">
        <v>7.01</v>
      </c>
      <c r="D1257">
        <v>4</v>
      </c>
      <c r="E1257">
        <v>15</v>
      </c>
      <c r="F1257">
        <v>2</v>
      </c>
      <c r="G1257">
        <v>0</v>
      </c>
      <c r="H1257">
        <v>7</v>
      </c>
      <c r="I1257">
        <v>3</v>
      </c>
    </row>
    <row r="1258" spans="1:9" x14ac:dyDescent="0.25">
      <c r="A1258" s="18">
        <v>42897</v>
      </c>
      <c r="B1258">
        <v>5.5</v>
      </c>
      <c r="C1258">
        <v>3.99</v>
      </c>
      <c r="D1258">
        <v>8.5</v>
      </c>
      <c r="E1258">
        <v>28.25</v>
      </c>
      <c r="F1258">
        <v>8</v>
      </c>
      <c r="G1258">
        <v>0</v>
      </c>
      <c r="H1258">
        <v>2</v>
      </c>
      <c r="I1258">
        <v>3</v>
      </c>
    </row>
    <row r="1259" spans="1:9" x14ac:dyDescent="0.25">
      <c r="A1259" s="18">
        <v>42898</v>
      </c>
      <c r="B1259">
        <v>4.34</v>
      </c>
      <c r="C1259">
        <v>3.34</v>
      </c>
      <c r="D1259">
        <v>1</v>
      </c>
      <c r="E1259">
        <v>13.6</v>
      </c>
      <c r="F1259">
        <v>3</v>
      </c>
      <c r="G1259">
        <v>0</v>
      </c>
      <c r="H1259">
        <v>13</v>
      </c>
      <c r="I1259">
        <v>12</v>
      </c>
    </row>
    <row r="1260" spans="1:9" x14ac:dyDescent="0.25">
      <c r="A1260" s="18">
        <v>42899</v>
      </c>
      <c r="B1260">
        <v>2.99</v>
      </c>
      <c r="C1260">
        <v>3.0230000000000001</v>
      </c>
      <c r="D1260">
        <v>3</v>
      </c>
      <c r="E1260">
        <v>8</v>
      </c>
      <c r="F1260">
        <v>9</v>
      </c>
      <c r="G1260">
        <v>0</v>
      </c>
      <c r="H1260">
        <v>0</v>
      </c>
      <c r="I1260">
        <v>9.1</v>
      </c>
    </row>
    <row r="1261" spans="1:9" x14ac:dyDescent="0.25">
      <c r="A1261" s="18">
        <v>42900</v>
      </c>
      <c r="B1261">
        <v>1.33</v>
      </c>
      <c r="C1261">
        <v>1.33</v>
      </c>
      <c r="D1261">
        <v>1</v>
      </c>
      <c r="E1261">
        <v>9</v>
      </c>
      <c r="F1261">
        <v>6</v>
      </c>
      <c r="G1261">
        <v>3</v>
      </c>
      <c r="H1261">
        <v>5</v>
      </c>
      <c r="I1261">
        <v>3</v>
      </c>
    </row>
    <row r="1262" spans="1:9" x14ac:dyDescent="0.25">
      <c r="A1262" s="18">
        <v>42901</v>
      </c>
      <c r="B1262">
        <v>3</v>
      </c>
      <c r="C1262">
        <v>4.33</v>
      </c>
      <c r="D1262">
        <v>3.15</v>
      </c>
      <c r="E1262">
        <v>15</v>
      </c>
      <c r="F1262">
        <v>10</v>
      </c>
      <c r="G1262">
        <v>0</v>
      </c>
      <c r="H1262">
        <v>5</v>
      </c>
      <c r="I1262">
        <v>6.5</v>
      </c>
    </row>
    <row r="1263" spans="1:9" x14ac:dyDescent="0.25">
      <c r="A1263" s="18">
        <v>42902</v>
      </c>
      <c r="B1263">
        <v>4</v>
      </c>
      <c r="C1263">
        <v>2.0099999999999998</v>
      </c>
      <c r="D1263">
        <v>0</v>
      </c>
      <c r="E1263">
        <v>12.25</v>
      </c>
      <c r="F1263">
        <v>6</v>
      </c>
      <c r="G1263">
        <v>0</v>
      </c>
      <c r="H1263">
        <v>0</v>
      </c>
      <c r="I1263">
        <v>5.44</v>
      </c>
    </row>
    <row r="1264" spans="1:9" x14ac:dyDescent="0.25">
      <c r="A1264" s="18">
        <v>42903</v>
      </c>
      <c r="B1264">
        <v>2</v>
      </c>
      <c r="C1264">
        <v>8.7260000000000009</v>
      </c>
      <c r="D1264">
        <v>5</v>
      </c>
      <c r="E1264">
        <v>12</v>
      </c>
      <c r="F1264">
        <v>4</v>
      </c>
      <c r="G1264">
        <v>0</v>
      </c>
      <c r="H1264">
        <v>5</v>
      </c>
      <c r="I1264">
        <v>5</v>
      </c>
    </row>
    <row r="1265" spans="1:9" x14ac:dyDescent="0.25">
      <c r="A1265" s="18">
        <v>42904</v>
      </c>
      <c r="B1265">
        <v>4</v>
      </c>
      <c r="C1265">
        <v>7.34</v>
      </c>
      <c r="D1265">
        <v>1.1000000000000001</v>
      </c>
      <c r="E1265">
        <v>26.6</v>
      </c>
      <c r="F1265">
        <v>2</v>
      </c>
      <c r="G1265">
        <v>0</v>
      </c>
      <c r="H1265">
        <v>12</v>
      </c>
      <c r="I1265">
        <v>3.33</v>
      </c>
    </row>
    <row r="1266" spans="1:9" x14ac:dyDescent="0.25">
      <c r="A1266" s="18">
        <v>42905</v>
      </c>
      <c r="B1266">
        <v>1.33</v>
      </c>
      <c r="C1266">
        <v>1.98</v>
      </c>
      <c r="D1266">
        <v>1</v>
      </c>
      <c r="E1266">
        <v>18</v>
      </c>
      <c r="F1266">
        <v>1</v>
      </c>
      <c r="G1266">
        <v>1</v>
      </c>
      <c r="H1266">
        <v>8</v>
      </c>
      <c r="I1266">
        <v>3</v>
      </c>
    </row>
    <row r="1267" spans="1:9" x14ac:dyDescent="0.25">
      <c r="A1267" s="18">
        <v>42906</v>
      </c>
      <c r="B1267">
        <v>9.33</v>
      </c>
      <c r="C1267">
        <v>1</v>
      </c>
      <c r="D1267">
        <v>5.0999999999999996</v>
      </c>
      <c r="E1267">
        <v>12</v>
      </c>
      <c r="F1267">
        <v>5</v>
      </c>
      <c r="G1267">
        <v>0</v>
      </c>
      <c r="H1267">
        <v>5</v>
      </c>
      <c r="I1267">
        <v>8.6300000000000008</v>
      </c>
    </row>
    <row r="1268" spans="1:9" x14ac:dyDescent="0.25">
      <c r="A1268" s="18">
        <v>42907</v>
      </c>
      <c r="B1268">
        <v>4</v>
      </c>
      <c r="C1268">
        <v>1.33</v>
      </c>
      <c r="D1268">
        <v>2</v>
      </c>
      <c r="E1268">
        <v>21</v>
      </c>
      <c r="F1268">
        <v>4</v>
      </c>
      <c r="G1268">
        <v>0</v>
      </c>
      <c r="H1268">
        <v>2</v>
      </c>
      <c r="I1268">
        <v>5.4</v>
      </c>
    </row>
    <row r="1269" spans="1:9" x14ac:dyDescent="0.25">
      <c r="A1269" s="18">
        <v>42908</v>
      </c>
      <c r="B1269">
        <v>1</v>
      </c>
      <c r="C1269">
        <v>3.34</v>
      </c>
      <c r="D1269">
        <v>0</v>
      </c>
      <c r="E1269">
        <v>7</v>
      </c>
      <c r="F1269">
        <v>4</v>
      </c>
      <c r="G1269">
        <v>0</v>
      </c>
      <c r="H1269">
        <v>8</v>
      </c>
      <c r="I1269">
        <v>11</v>
      </c>
    </row>
    <row r="1270" spans="1:9" x14ac:dyDescent="0.25">
      <c r="A1270" s="18">
        <v>42909</v>
      </c>
      <c r="B1270">
        <v>1</v>
      </c>
      <c r="C1270">
        <v>1.34</v>
      </c>
      <c r="D1270">
        <v>2</v>
      </c>
      <c r="E1270">
        <v>16</v>
      </c>
      <c r="F1270">
        <v>5</v>
      </c>
      <c r="G1270">
        <v>0</v>
      </c>
      <c r="H1270">
        <v>0</v>
      </c>
      <c r="I1270">
        <v>1.2</v>
      </c>
    </row>
    <row r="1271" spans="1:9" x14ac:dyDescent="0.25">
      <c r="A1271" s="18">
        <v>42910</v>
      </c>
      <c r="B1271">
        <v>5</v>
      </c>
      <c r="C1271">
        <v>3.65</v>
      </c>
      <c r="D1271">
        <v>6</v>
      </c>
      <c r="E1271">
        <v>32</v>
      </c>
      <c r="F1271">
        <v>8</v>
      </c>
      <c r="G1271">
        <v>1</v>
      </c>
      <c r="H1271">
        <v>0</v>
      </c>
      <c r="I1271">
        <v>1</v>
      </c>
    </row>
    <row r="1272" spans="1:9" x14ac:dyDescent="0.25">
      <c r="A1272" s="18">
        <v>42911</v>
      </c>
      <c r="B1272">
        <v>6.5</v>
      </c>
      <c r="C1272">
        <v>2.34</v>
      </c>
      <c r="D1272">
        <v>6</v>
      </c>
      <c r="E1272">
        <v>22</v>
      </c>
      <c r="F1272">
        <v>4</v>
      </c>
      <c r="G1272">
        <v>0</v>
      </c>
      <c r="H1272">
        <v>0</v>
      </c>
      <c r="I1272">
        <v>4.5999999999999996</v>
      </c>
    </row>
    <row r="1273" spans="1:9" x14ac:dyDescent="0.25">
      <c r="A1273" s="18">
        <v>42912</v>
      </c>
      <c r="B1273">
        <v>7.68</v>
      </c>
      <c r="C1273">
        <v>3.0329999999999999</v>
      </c>
      <c r="D1273">
        <v>6.25</v>
      </c>
      <c r="E1273">
        <v>10</v>
      </c>
      <c r="F1273">
        <v>11</v>
      </c>
      <c r="G1273">
        <v>0</v>
      </c>
      <c r="H1273">
        <v>0</v>
      </c>
      <c r="I1273">
        <v>3</v>
      </c>
    </row>
    <row r="1274" spans="1:9" x14ac:dyDescent="0.25">
      <c r="A1274" s="18">
        <v>42913</v>
      </c>
      <c r="B1274">
        <v>4</v>
      </c>
      <c r="C1274">
        <v>3.32</v>
      </c>
      <c r="D1274">
        <v>6</v>
      </c>
      <c r="E1274">
        <v>13.5</v>
      </c>
      <c r="F1274">
        <v>9</v>
      </c>
      <c r="G1274">
        <v>0</v>
      </c>
      <c r="H1274">
        <v>3</v>
      </c>
      <c r="I1274">
        <v>6</v>
      </c>
    </row>
    <row r="1275" spans="1:9" x14ac:dyDescent="0.25">
      <c r="A1275" s="18">
        <v>42914</v>
      </c>
      <c r="B1275">
        <v>4</v>
      </c>
      <c r="C1275">
        <v>4.0330000000000004</v>
      </c>
      <c r="D1275">
        <v>4.5</v>
      </c>
      <c r="E1275">
        <v>18</v>
      </c>
      <c r="F1275">
        <v>7</v>
      </c>
      <c r="G1275">
        <v>0</v>
      </c>
      <c r="H1275">
        <v>5</v>
      </c>
      <c r="I1275">
        <v>3</v>
      </c>
    </row>
    <row r="1276" spans="1:9" x14ac:dyDescent="0.25">
      <c r="A1276" s="18">
        <v>42915</v>
      </c>
      <c r="B1276">
        <v>4</v>
      </c>
      <c r="C1276">
        <v>3.67</v>
      </c>
      <c r="D1276">
        <v>6</v>
      </c>
      <c r="E1276">
        <v>17</v>
      </c>
      <c r="F1276">
        <v>1</v>
      </c>
      <c r="G1276">
        <v>0</v>
      </c>
      <c r="H1276">
        <v>21</v>
      </c>
      <c r="I1276">
        <v>5</v>
      </c>
    </row>
    <row r="1277" spans="1:9" x14ac:dyDescent="0.25">
      <c r="A1277" s="18">
        <v>42916</v>
      </c>
      <c r="B1277">
        <v>6.67</v>
      </c>
      <c r="C1277">
        <v>2.1320000000000001</v>
      </c>
      <c r="D1277">
        <v>2</v>
      </c>
      <c r="E1277">
        <v>18</v>
      </c>
      <c r="F1277">
        <v>2</v>
      </c>
      <c r="G1277">
        <v>0</v>
      </c>
      <c r="H1277">
        <v>0</v>
      </c>
      <c r="I1277">
        <v>6</v>
      </c>
    </row>
    <row r="1278" spans="1:9" x14ac:dyDescent="0.25">
      <c r="A1278" s="18">
        <v>42917</v>
      </c>
      <c r="B1278">
        <v>3.33</v>
      </c>
      <c r="C1278">
        <v>2.33</v>
      </c>
      <c r="D1278">
        <v>1</v>
      </c>
      <c r="E1278">
        <v>10</v>
      </c>
      <c r="F1278">
        <v>5</v>
      </c>
      <c r="G1278">
        <v>0</v>
      </c>
      <c r="H1278">
        <v>10</v>
      </c>
      <c r="I1278">
        <v>4</v>
      </c>
    </row>
    <row r="1279" spans="1:9" x14ac:dyDescent="0.25">
      <c r="A1279" s="18">
        <v>42918</v>
      </c>
      <c r="B1279">
        <v>5</v>
      </c>
      <c r="C1279">
        <v>3.68</v>
      </c>
      <c r="D1279">
        <v>2</v>
      </c>
      <c r="E1279">
        <v>9</v>
      </c>
      <c r="F1279">
        <v>6</v>
      </c>
      <c r="G1279">
        <v>0</v>
      </c>
      <c r="H1279">
        <v>0</v>
      </c>
      <c r="I1279">
        <v>4</v>
      </c>
    </row>
    <row r="1280" spans="1:9" x14ac:dyDescent="0.25">
      <c r="A1280" s="18">
        <v>42919</v>
      </c>
      <c r="B1280">
        <v>3.67</v>
      </c>
      <c r="C1280">
        <v>0</v>
      </c>
      <c r="D1280">
        <v>1.5</v>
      </c>
      <c r="E1280">
        <v>8</v>
      </c>
      <c r="F1280">
        <v>11</v>
      </c>
      <c r="G1280">
        <v>0</v>
      </c>
      <c r="H1280">
        <v>11</v>
      </c>
      <c r="I1280">
        <v>0</v>
      </c>
    </row>
    <row r="1281" spans="1:9" x14ac:dyDescent="0.25">
      <c r="A1281" s="18">
        <v>42920</v>
      </c>
      <c r="B1281">
        <v>10.67</v>
      </c>
      <c r="C1281">
        <v>2.34</v>
      </c>
      <c r="D1281">
        <v>5</v>
      </c>
      <c r="E1281">
        <v>18</v>
      </c>
      <c r="F1281">
        <v>7</v>
      </c>
      <c r="G1281">
        <v>0</v>
      </c>
      <c r="H1281">
        <v>0</v>
      </c>
      <c r="I1281">
        <v>6</v>
      </c>
    </row>
    <row r="1282" spans="1:9" x14ac:dyDescent="0.25">
      <c r="A1282" s="18">
        <v>42921</v>
      </c>
      <c r="B1282">
        <v>4.5</v>
      </c>
      <c r="C1282">
        <v>1.66</v>
      </c>
      <c r="D1282">
        <v>2</v>
      </c>
      <c r="E1282">
        <v>16</v>
      </c>
      <c r="F1282">
        <v>20</v>
      </c>
      <c r="G1282">
        <v>0</v>
      </c>
      <c r="H1282">
        <v>22</v>
      </c>
      <c r="I1282">
        <v>6</v>
      </c>
    </row>
    <row r="1283" spans="1:9" x14ac:dyDescent="0.25">
      <c r="A1283" s="18">
        <v>42922</v>
      </c>
      <c r="B1283">
        <v>4.33</v>
      </c>
      <c r="C1283">
        <v>7</v>
      </c>
      <c r="D1283">
        <v>4</v>
      </c>
      <c r="E1283">
        <v>20.6</v>
      </c>
      <c r="F1283">
        <v>3</v>
      </c>
      <c r="G1283">
        <v>1</v>
      </c>
      <c r="H1283">
        <v>1</v>
      </c>
      <c r="I1283">
        <v>1</v>
      </c>
    </row>
    <row r="1284" spans="1:9" x14ac:dyDescent="0.25">
      <c r="A1284" s="18">
        <v>42923</v>
      </c>
      <c r="B1284">
        <v>5</v>
      </c>
      <c r="C1284">
        <v>2</v>
      </c>
      <c r="D1284">
        <v>4.0999999999999996</v>
      </c>
      <c r="E1284">
        <v>17</v>
      </c>
      <c r="F1284">
        <v>6</v>
      </c>
      <c r="G1284">
        <v>0</v>
      </c>
      <c r="H1284">
        <v>1</v>
      </c>
      <c r="I1284">
        <v>0</v>
      </c>
    </row>
    <row r="1285" spans="1:9" x14ac:dyDescent="0.25">
      <c r="A1285" s="18">
        <v>42924</v>
      </c>
      <c r="B1285">
        <v>4.99</v>
      </c>
      <c r="C1285">
        <v>4.0890000000000004</v>
      </c>
      <c r="D1285">
        <v>5</v>
      </c>
      <c r="E1285">
        <v>16</v>
      </c>
      <c r="F1285">
        <v>12</v>
      </c>
      <c r="G1285">
        <v>0</v>
      </c>
      <c r="H1285">
        <v>1</v>
      </c>
      <c r="I1285">
        <v>3</v>
      </c>
    </row>
    <row r="1286" spans="1:9" x14ac:dyDescent="0.25">
      <c r="A1286" s="18">
        <v>42925</v>
      </c>
      <c r="B1286">
        <v>2.33</v>
      </c>
      <c r="C1286">
        <v>7.16</v>
      </c>
      <c r="D1286">
        <v>0.5</v>
      </c>
      <c r="E1286">
        <v>15</v>
      </c>
      <c r="F1286">
        <v>4</v>
      </c>
      <c r="G1286">
        <v>0</v>
      </c>
      <c r="H1286">
        <v>1</v>
      </c>
      <c r="I1286">
        <v>4</v>
      </c>
    </row>
    <row r="1287" spans="1:9" x14ac:dyDescent="0.25">
      <c r="A1287" s="18">
        <v>42926</v>
      </c>
      <c r="B1287">
        <v>2</v>
      </c>
      <c r="C1287">
        <v>4.3529999999999998</v>
      </c>
      <c r="D1287">
        <v>4</v>
      </c>
      <c r="E1287">
        <v>12</v>
      </c>
      <c r="F1287">
        <v>5</v>
      </c>
      <c r="G1287">
        <v>2</v>
      </c>
      <c r="H1287">
        <v>7</v>
      </c>
      <c r="I1287">
        <v>3</v>
      </c>
    </row>
    <row r="1288" spans="1:9" x14ac:dyDescent="0.25">
      <c r="A1288" s="18">
        <v>42927</v>
      </c>
      <c r="B1288">
        <v>3.34</v>
      </c>
      <c r="C1288">
        <v>0.68</v>
      </c>
      <c r="D1288">
        <v>0</v>
      </c>
      <c r="E1288">
        <v>18</v>
      </c>
      <c r="F1288">
        <v>2</v>
      </c>
      <c r="G1288">
        <v>0</v>
      </c>
      <c r="H1288">
        <v>7</v>
      </c>
      <c r="I1288">
        <v>2</v>
      </c>
    </row>
    <row r="1289" spans="1:9" x14ac:dyDescent="0.25">
      <c r="A1289" s="18">
        <v>42928</v>
      </c>
      <c r="B1289">
        <v>2</v>
      </c>
      <c r="C1289">
        <v>5.34</v>
      </c>
      <c r="D1289">
        <v>0</v>
      </c>
      <c r="E1289">
        <v>15.4</v>
      </c>
      <c r="F1289">
        <v>12</v>
      </c>
      <c r="G1289">
        <v>0</v>
      </c>
      <c r="H1289">
        <v>3</v>
      </c>
      <c r="I1289">
        <v>0</v>
      </c>
    </row>
    <row r="1290" spans="1:9" x14ac:dyDescent="0.25">
      <c r="A1290" s="18">
        <v>42929</v>
      </c>
      <c r="B1290">
        <v>3.33</v>
      </c>
      <c r="C1290">
        <v>3.34</v>
      </c>
      <c r="D1290">
        <v>2.15</v>
      </c>
      <c r="E1290">
        <v>9.6</v>
      </c>
      <c r="F1290">
        <v>5</v>
      </c>
      <c r="G1290">
        <v>3</v>
      </c>
      <c r="H1290">
        <v>3</v>
      </c>
      <c r="I1290">
        <v>2</v>
      </c>
    </row>
    <row r="1291" spans="1:9" x14ac:dyDescent="0.25">
      <c r="A1291" s="18">
        <v>42930</v>
      </c>
      <c r="B1291">
        <v>2.33</v>
      </c>
      <c r="C1291">
        <v>3.7589999999999999</v>
      </c>
      <c r="D1291">
        <v>2</v>
      </c>
      <c r="E1291">
        <v>16</v>
      </c>
      <c r="F1291">
        <v>8</v>
      </c>
      <c r="G1291">
        <v>0</v>
      </c>
      <c r="H1291">
        <v>5</v>
      </c>
      <c r="I1291">
        <v>3</v>
      </c>
    </row>
    <row r="1292" spans="1:9" x14ac:dyDescent="0.25">
      <c r="A1292" s="18">
        <v>42931</v>
      </c>
      <c r="B1292">
        <v>3.33</v>
      </c>
      <c r="C1292">
        <v>9.34</v>
      </c>
      <c r="D1292">
        <v>3</v>
      </c>
      <c r="E1292">
        <v>21</v>
      </c>
      <c r="F1292">
        <v>3</v>
      </c>
      <c r="G1292">
        <v>0</v>
      </c>
      <c r="H1292">
        <v>0</v>
      </c>
      <c r="I1292">
        <v>2</v>
      </c>
    </row>
    <row r="1293" spans="1:9" x14ac:dyDescent="0.25">
      <c r="A1293" s="18">
        <v>42932</v>
      </c>
      <c r="B1293">
        <v>11.34</v>
      </c>
      <c r="C1293">
        <v>9.34</v>
      </c>
      <c r="D1293">
        <v>3</v>
      </c>
      <c r="E1293">
        <v>19</v>
      </c>
      <c r="F1293">
        <v>6</v>
      </c>
      <c r="G1293">
        <v>0</v>
      </c>
      <c r="H1293">
        <v>0</v>
      </c>
      <c r="I1293">
        <v>1</v>
      </c>
    </row>
    <row r="1294" spans="1:9" x14ac:dyDescent="0.25">
      <c r="A1294" s="18">
        <v>42933</v>
      </c>
      <c r="B1294">
        <v>9</v>
      </c>
      <c r="C1294">
        <v>4.7469999999999999</v>
      </c>
      <c r="D1294">
        <v>3</v>
      </c>
      <c r="E1294">
        <v>16.399999999999999</v>
      </c>
      <c r="F1294">
        <v>6</v>
      </c>
      <c r="G1294">
        <v>2</v>
      </c>
      <c r="H1294">
        <v>4</v>
      </c>
      <c r="I1294">
        <v>3</v>
      </c>
    </row>
    <row r="1295" spans="1:9" x14ac:dyDescent="0.25">
      <c r="A1295" s="18">
        <v>42934</v>
      </c>
      <c r="B1295">
        <v>9.67</v>
      </c>
      <c r="C1295">
        <v>5.67</v>
      </c>
      <c r="D1295">
        <v>1.5</v>
      </c>
      <c r="E1295">
        <v>14</v>
      </c>
      <c r="F1295">
        <v>8</v>
      </c>
      <c r="G1295">
        <v>0</v>
      </c>
      <c r="H1295">
        <v>20</v>
      </c>
      <c r="I1295">
        <v>4</v>
      </c>
    </row>
    <row r="1296" spans="1:9" x14ac:dyDescent="0.25">
      <c r="A1296" s="18">
        <v>42935</v>
      </c>
      <c r="B1296">
        <v>6.33</v>
      </c>
      <c r="C1296">
        <v>3.66</v>
      </c>
      <c r="D1296">
        <v>4</v>
      </c>
      <c r="E1296">
        <v>20.6</v>
      </c>
      <c r="F1296">
        <v>6</v>
      </c>
      <c r="G1296">
        <v>3</v>
      </c>
      <c r="H1296">
        <v>1</v>
      </c>
      <c r="I1296">
        <v>6</v>
      </c>
    </row>
    <row r="1297" spans="1:9" x14ac:dyDescent="0.25">
      <c r="A1297" s="18">
        <v>42936</v>
      </c>
      <c r="B1297">
        <v>5</v>
      </c>
      <c r="C1297">
        <v>4</v>
      </c>
      <c r="D1297">
        <v>3</v>
      </c>
      <c r="E1297">
        <v>18</v>
      </c>
      <c r="F1297">
        <v>11</v>
      </c>
      <c r="G1297">
        <v>2</v>
      </c>
      <c r="H1297">
        <v>2</v>
      </c>
      <c r="I1297">
        <v>2</v>
      </c>
    </row>
    <row r="1298" spans="1:9" x14ac:dyDescent="0.25">
      <c r="A1298" s="18">
        <v>42937</v>
      </c>
      <c r="B1298">
        <v>2.33</v>
      </c>
      <c r="C1298">
        <v>1</v>
      </c>
      <c r="D1298">
        <v>3</v>
      </c>
      <c r="E1298">
        <v>14</v>
      </c>
      <c r="F1298">
        <v>5</v>
      </c>
      <c r="G1298">
        <v>0</v>
      </c>
      <c r="H1298">
        <v>0</v>
      </c>
      <c r="I1298">
        <v>3</v>
      </c>
    </row>
    <row r="1299" spans="1:9" x14ac:dyDescent="0.25">
      <c r="A1299" s="18">
        <v>42938</v>
      </c>
      <c r="B1299">
        <v>3</v>
      </c>
      <c r="C1299">
        <v>5.69</v>
      </c>
      <c r="D1299">
        <v>5</v>
      </c>
      <c r="E1299">
        <v>22</v>
      </c>
      <c r="F1299">
        <v>3</v>
      </c>
      <c r="G1299">
        <v>1</v>
      </c>
      <c r="H1299">
        <v>0</v>
      </c>
      <c r="I1299">
        <v>2</v>
      </c>
    </row>
    <row r="1300" spans="1:9" x14ac:dyDescent="0.25">
      <c r="A1300" s="18">
        <v>42939</v>
      </c>
      <c r="B1300">
        <v>6.5</v>
      </c>
      <c r="C1300">
        <v>2.4289999999999998</v>
      </c>
      <c r="D1300">
        <v>2</v>
      </c>
      <c r="E1300">
        <v>12</v>
      </c>
      <c r="F1300">
        <v>4</v>
      </c>
      <c r="G1300">
        <v>0</v>
      </c>
      <c r="H1300">
        <v>4</v>
      </c>
      <c r="I1300">
        <v>5</v>
      </c>
    </row>
    <row r="1301" spans="1:9" x14ac:dyDescent="0.25">
      <c r="A1301" s="18">
        <v>42940</v>
      </c>
      <c r="B1301">
        <v>3.84</v>
      </c>
      <c r="C1301">
        <v>1</v>
      </c>
      <c r="D1301">
        <v>2.1</v>
      </c>
      <c r="E1301">
        <v>15</v>
      </c>
      <c r="F1301">
        <v>6</v>
      </c>
      <c r="G1301">
        <v>0</v>
      </c>
      <c r="H1301">
        <v>0</v>
      </c>
      <c r="I1301">
        <v>3</v>
      </c>
    </row>
    <row r="1302" spans="1:9" x14ac:dyDescent="0.25">
      <c r="A1302" s="18">
        <v>42941</v>
      </c>
      <c r="B1302">
        <v>6.34</v>
      </c>
      <c r="C1302">
        <v>2.35</v>
      </c>
      <c r="D1302">
        <v>2</v>
      </c>
      <c r="E1302">
        <v>14</v>
      </c>
      <c r="F1302">
        <v>5</v>
      </c>
      <c r="G1302">
        <v>0</v>
      </c>
      <c r="H1302">
        <v>6</v>
      </c>
      <c r="I1302">
        <v>0.1</v>
      </c>
    </row>
    <row r="1303" spans="1:9" x14ac:dyDescent="0.25">
      <c r="A1303" s="18">
        <v>42942</v>
      </c>
      <c r="B1303">
        <v>3.33</v>
      </c>
      <c r="C1303">
        <v>6.7789999999999999</v>
      </c>
      <c r="D1303">
        <v>3</v>
      </c>
      <c r="E1303">
        <v>15</v>
      </c>
      <c r="F1303">
        <v>11</v>
      </c>
      <c r="G1303">
        <v>1</v>
      </c>
      <c r="H1303">
        <v>1</v>
      </c>
      <c r="I1303">
        <v>1</v>
      </c>
    </row>
    <row r="1304" spans="1:9" x14ac:dyDescent="0.25">
      <c r="A1304" s="18">
        <v>42943</v>
      </c>
      <c r="B1304">
        <v>5</v>
      </c>
      <c r="C1304">
        <v>0.67</v>
      </c>
      <c r="D1304">
        <v>0</v>
      </c>
      <c r="E1304">
        <v>12.4</v>
      </c>
      <c r="F1304">
        <v>8</v>
      </c>
      <c r="G1304">
        <v>0</v>
      </c>
      <c r="H1304">
        <v>0</v>
      </c>
      <c r="I1304">
        <v>1</v>
      </c>
    </row>
    <row r="1305" spans="1:9" x14ac:dyDescent="0.25">
      <c r="A1305" s="18">
        <v>42944</v>
      </c>
      <c r="B1305">
        <v>4</v>
      </c>
      <c r="C1305">
        <v>5</v>
      </c>
      <c r="D1305">
        <v>1.1000000000000001</v>
      </c>
      <c r="E1305">
        <v>17.2</v>
      </c>
      <c r="F1305">
        <v>10</v>
      </c>
      <c r="G1305">
        <v>0</v>
      </c>
      <c r="H1305">
        <v>0</v>
      </c>
      <c r="I1305">
        <v>3</v>
      </c>
    </row>
    <row r="1306" spans="1:9" x14ac:dyDescent="0.25">
      <c r="A1306" s="18">
        <v>42945</v>
      </c>
      <c r="B1306">
        <v>3</v>
      </c>
      <c r="C1306">
        <v>3.33</v>
      </c>
      <c r="D1306">
        <v>2</v>
      </c>
      <c r="E1306">
        <v>14.15</v>
      </c>
      <c r="F1306">
        <v>1</v>
      </c>
      <c r="G1306">
        <v>0</v>
      </c>
      <c r="H1306">
        <v>0</v>
      </c>
      <c r="I1306">
        <v>4</v>
      </c>
    </row>
    <row r="1307" spans="1:9" x14ac:dyDescent="0.25">
      <c r="A1307" s="18">
        <v>42946</v>
      </c>
      <c r="B1307">
        <v>4.125</v>
      </c>
      <c r="C1307">
        <v>2.66</v>
      </c>
      <c r="D1307">
        <v>2</v>
      </c>
      <c r="E1307">
        <v>13</v>
      </c>
      <c r="F1307">
        <v>11</v>
      </c>
      <c r="G1307">
        <v>0</v>
      </c>
      <c r="H1307">
        <v>0</v>
      </c>
      <c r="I1307">
        <v>1</v>
      </c>
    </row>
    <row r="1308" spans="1:9" x14ac:dyDescent="0.25">
      <c r="A1308" s="18">
        <v>42947</v>
      </c>
      <c r="B1308">
        <v>7.34</v>
      </c>
      <c r="C1308">
        <v>0.81</v>
      </c>
      <c r="D1308">
        <v>2.25</v>
      </c>
      <c r="E1308">
        <v>21</v>
      </c>
      <c r="F1308">
        <v>9</v>
      </c>
      <c r="G1308">
        <v>0</v>
      </c>
      <c r="H1308">
        <v>5</v>
      </c>
      <c r="I1308">
        <v>2</v>
      </c>
    </row>
    <row r="1309" spans="1:9" x14ac:dyDescent="0.25">
      <c r="A1309" s="18">
        <v>42948</v>
      </c>
      <c r="B1309">
        <v>7.33</v>
      </c>
      <c r="C1309">
        <v>3.33</v>
      </c>
      <c r="D1309">
        <v>2</v>
      </c>
      <c r="E1309">
        <v>15.6</v>
      </c>
      <c r="F1309">
        <v>3</v>
      </c>
      <c r="G1309">
        <v>0</v>
      </c>
      <c r="H1309">
        <v>1</v>
      </c>
      <c r="I1309">
        <v>1</v>
      </c>
    </row>
    <row r="1310" spans="1:9" x14ac:dyDescent="0.25">
      <c r="A1310" s="18">
        <v>42949</v>
      </c>
      <c r="B1310">
        <v>6</v>
      </c>
      <c r="C1310">
        <v>2.66</v>
      </c>
      <c r="D1310">
        <v>1</v>
      </c>
      <c r="E1310">
        <v>25</v>
      </c>
      <c r="F1310">
        <v>2</v>
      </c>
      <c r="G1310">
        <v>0</v>
      </c>
      <c r="H1310">
        <v>1</v>
      </c>
      <c r="I1310">
        <v>4</v>
      </c>
    </row>
    <row r="1311" spans="1:9" x14ac:dyDescent="0.25">
      <c r="A1311" s="18">
        <v>42950</v>
      </c>
      <c r="B1311">
        <v>6.33</v>
      </c>
      <c r="C1311">
        <v>0.66</v>
      </c>
      <c r="D1311">
        <v>4</v>
      </c>
      <c r="E1311">
        <v>10</v>
      </c>
      <c r="F1311">
        <v>8</v>
      </c>
      <c r="G1311">
        <v>0</v>
      </c>
      <c r="H1311">
        <v>1</v>
      </c>
      <c r="I1311">
        <v>3</v>
      </c>
    </row>
    <row r="1312" spans="1:9" x14ac:dyDescent="0.25">
      <c r="A1312" s="18">
        <v>42951</v>
      </c>
      <c r="B1312">
        <v>8</v>
      </c>
      <c r="C1312">
        <v>4</v>
      </c>
      <c r="D1312">
        <v>1</v>
      </c>
      <c r="E1312">
        <v>15</v>
      </c>
      <c r="F1312">
        <v>11</v>
      </c>
      <c r="G1312">
        <v>2</v>
      </c>
      <c r="H1312">
        <v>5</v>
      </c>
      <c r="I1312">
        <v>2</v>
      </c>
    </row>
    <row r="1313" spans="1:9" x14ac:dyDescent="0.25">
      <c r="A1313" s="18">
        <v>42952</v>
      </c>
      <c r="B1313">
        <v>4.66</v>
      </c>
      <c r="C1313">
        <v>2.472</v>
      </c>
      <c r="D1313">
        <v>2</v>
      </c>
      <c r="E1313">
        <v>13.311999999999999</v>
      </c>
      <c r="F1313">
        <v>2</v>
      </c>
      <c r="G1313">
        <v>0</v>
      </c>
      <c r="H1313">
        <v>0</v>
      </c>
      <c r="I1313">
        <v>2</v>
      </c>
    </row>
    <row r="1314" spans="1:9" x14ac:dyDescent="0.25">
      <c r="A1314" s="18">
        <v>42953</v>
      </c>
      <c r="B1314">
        <v>2</v>
      </c>
      <c r="C1314">
        <v>3.4289999999999998</v>
      </c>
      <c r="D1314">
        <v>1</v>
      </c>
      <c r="E1314">
        <v>13</v>
      </c>
      <c r="F1314">
        <v>6</v>
      </c>
      <c r="G1314">
        <v>0</v>
      </c>
      <c r="H1314">
        <v>0</v>
      </c>
      <c r="I1314">
        <v>3</v>
      </c>
    </row>
    <row r="1315" spans="1:9" x14ac:dyDescent="0.25">
      <c r="A1315" s="18">
        <v>42954</v>
      </c>
      <c r="B1315">
        <v>1</v>
      </c>
      <c r="C1315">
        <v>5.34</v>
      </c>
      <c r="D1315">
        <v>3.1</v>
      </c>
      <c r="E1315">
        <v>16</v>
      </c>
      <c r="F1315">
        <v>9</v>
      </c>
      <c r="G1315">
        <v>2</v>
      </c>
      <c r="H1315">
        <v>0</v>
      </c>
      <c r="I1315">
        <v>0</v>
      </c>
    </row>
    <row r="1316" spans="1:9" x14ac:dyDescent="0.25">
      <c r="A1316" s="18">
        <v>42955</v>
      </c>
      <c r="B1316">
        <v>6</v>
      </c>
      <c r="C1316">
        <v>1.7030000000000001</v>
      </c>
      <c r="D1316">
        <v>2.1</v>
      </c>
      <c r="E1316">
        <v>11.188000000000001</v>
      </c>
      <c r="F1316">
        <v>8</v>
      </c>
      <c r="G1316">
        <v>0</v>
      </c>
      <c r="H1316">
        <v>0</v>
      </c>
      <c r="I1316">
        <v>4.2</v>
      </c>
    </row>
    <row r="1317" spans="1:9" x14ac:dyDescent="0.25">
      <c r="A1317" s="18">
        <v>42956</v>
      </c>
      <c r="B1317">
        <v>2.33</v>
      </c>
      <c r="C1317">
        <v>5.0999999999999996</v>
      </c>
      <c r="D1317">
        <v>3.15</v>
      </c>
      <c r="E1317">
        <v>13</v>
      </c>
      <c r="F1317">
        <v>15</v>
      </c>
      <c r="G1317">
        <v>0</v>
      </c>
      <c r="H1317">
        <v>2</v>
      </c>
      <c r="I1317">
        <v>2.2000000000000002</v>
      </c>
    </row>
    <row r="1318" spans="1:9" x14ac:dyDescent="0.25">
      <c r="A1318" s="18">
        <v>42957</v>
      </c>
      <c r="B1318">
        <v>0</v>
      </c>
      <c r="C1318">
        <v>3.99</v>
      </c>
      <c r="D1318">
        <v>4</v>
      </c>
      <c r="E1318">
        <v>9</v>
      </c>
      <c r="F1318">
        <v>19</v>
      </c>
      <c r="G1318">
        <v>0</v>
      </c>
      <c r="H1318">
        <v>3</v>
      </c>
      <c r="I1318">
        <v>1.1000000000000001</v>
      </c>
    </row>
    <row r="1319" spans="1:9" x14ac:dyDescent="0.25">
      <c r="A1319" s="18">
        <v>42958</v>
      </c>
      <c r="B1319">
        <v>4.33</v>
      </c>
      <c r="C1319">
        <v>1.65</v>
      </c>
      <c r="D1319">
        <v>5.0999999999999996</v>
      </c>
      <c r="E1319">
        <v>8</v>
      </c>
      <c r="F1319">
        <v>6</v>
      </c>
      <c r="G1319">
        <v>3</v>
      </c>
      <c r="H1319">
        <v>0</v>
      </c>
      <c r="I1319">
        <v>0</v>
      </c>
    </row>
    <row r="1320" spans="1:9" x14ac:dyDescent="0.25">
      <c r="A1320" s="18">
        <v>42959</v>
      </c>
      <c r="B1320">
        <v>2.69</v>
      </c>
      <c r="C1320">
        <v>4.9390000000000001</v>
      </c>
      <c r="D1320">
        <v>2.5</v>
      </c>
      <c r="E1320">
        <v>22.6</v>
      </c>
      <c r="F1320">
        <v>4</v>
      </c>
      <c r="G1320">
        <v>0</v>
      </c>
      <c r="H1320">
        <v>6</v>
      </c>
      <c r="I1320">
        <v>2</v>
      </c>
    </row>
    <row r="1321" spans="1:9" x14ac:dyDescent="0.25">
      <c r="A1321" s="18">
        <v>42960</v>
      </c>
      <c r="B1321">
        <v>3.66</v>
      </c>
      <c r="C1321">
        <v>3.65</v>
      </c>
      <c r="D1321">
        <v>2.0499999999999998</v>
      </c>
      <c r="E1321">
        <v>24</v>
      </c>
      <c r="F1321">
        <v>5</v>
      </c>
      <c r="G1321">
        <v>0</v>
      </c>
      <c r="H1321">
        <v>1</v>
      </c>
      <c r="I1321">
        <v>1</v>
      </c>
    </row>
    <row r="1322" spans="1:9" x14ac:dyDescent="0.25">
      <c r="A1322" s="18">
        <v>42961</v>
      </c>
      <c r="B1322">
        <v>11.34</v>
      </c>
      <c r="C1322">
        <v>2.0670000000000002</v>
      </c>
      <c r="D1322">
        <v>4</v>
      </c>
      <c r="E1322">
        <v>13</v>
      </c>
      <c r="F1322">
        <v>4</v>
      </c>
      <c r="G1322">
        <v>0</v>
      </c>
      <c r="H1322">
        <v>0</v>
      </c>
      <c r="I1322">
        <v>2</v>
      </c>
    </row>
    <row r="1323" spans="1:9" x14ac:dyDescent="0.25">
      <c r="A1323" s="18">
        <v>42962</v>
      </c>
      <c r="B1323">
        <v>2.33</v>
      </c>
      <c r="C1323">
        <v>6.7030000000000003</v>
      </c>
      <c r="D1323">
        <v>2.15</v>
      </c>
      <c r="E1323">
        <v>35</v>
      </c>
      <c r="F1323">
        <v>11</v>
      </c>
      <c r="G1323">
        <v>0</v>
      </c>
      <c r="H1323">
        <v>2</v>
      </c>
      <c r="I1323">
        <v>3</v>
      </c>
    </row>
    <row r="1324" spans="1:9" x14ac:dyDescent="0.25">
      <c r="A1324" s="18">
        <v>42963</v>
      </c>
      <c r="B1324">
        <v>5.33</v>
      </c>
      <c r="C1324">
        <v>3.67</v>
      </c>
      <c r="D1324">
        <v>1</v>
      </c>
      <c r="E1324">
        <v>10.45</v>
      </c>
      <c r="F1324">
        <v>13</v>
      </c>
      <c r="G1324">
        <v>0</v>
      </c>
      <c r="H1324">
        <v>4</v>
      </c>
      <c r="I1324">
        <v>2</v>
      </c>
    </row>
    <row r="1325" spans="1:9" x14ac:dyDescent="0.25">
      <c r="A1325" s="18">
        <v>42964</v>
      </c>
      <c r="B1325">
        <v>5.16</v>
      </c>
      <c r="C1325">
        <v>1.33</v>
      </c>
      <c r="D1325">
        <v>5</v>
      </c>
      <c r="E1325">
        <v>12</v>
      </c>
      <c r="F1325">
        <v>8</v>
      </c>
      <c r="G1325">
        <v>0</v>
      </c>
      <c r="H1325">
        <v>1</v>
      </c>
      <c r="I1325">
        <v>1.5</v>
      </c>
    </row>
    <row r="1326" spans="1:9" x14ac:dyDescent="0.25">
      <c r="A1326" s="18">
        <v>42965</v>
      </c>
      <c r="B1326">
        <v>2.33</v>
      </c>
      <c r="C1326">
        <v>3.99</v>
      </c>
      <c r="D1326">
        <v>3</v>
      </c>
      <c r="E1326">
        <v>15</v>
      </c>
      <c r="F1326">
        <v>4</v>
      </c>
      <c r="G1326">
        <v>0</v>
      </c>
      <c r="H1326">
        <v>0</v>
      </c>
      <c r="I1326">
        <v>3</v>
      </c>
    </row>
    <row r="1327" spans="1:9" x14ac:dyDescent="0.25">
      <c r="A1327" s="18">
        <v>42966</v>
      </c>
      <c r="B1327">
        <v>5</v>
      </c>
      <c r="C1327">
        <v>4.7130000000000001</v>
      </c>
      <c r="D1327">
        <v>3</v>
      </c>
      <c r="E1327">
        <v>16</v>
      </c>
      <c r="F1327">
        <v>10</v>
      </c>
      <c r="G1327">
        <v>0</v>
      </c>
      <c r="H1327">
        <v>11</v>
      </c>
      <c r="I1327">
        <v>2</v>
      </c>
    </row>
    <row r="1328" spans="1:9" x14ac:dyDescent="0.25">
      <c r="A1328" s="18">
        <v>42967</v>
      </c>
      <c r="B1328">
        <v>4.33</v>
      </c>
      <c r="C1328">
        <v>2.056</v>
      </c>
      <c r="D1328">
        <v>6</v>
      </c>
      <c r="E1328">
        <v>14.4</v>
      </c>
      <c r="F1328">
        <v>6</v>
      </c>
      <c r="G1328">
        <v>0</v>
      </c>
      <c r="H1328">
        <v>2</v>
      </c>
      <c r="I1328">
        <v>1</v>
      </c>
    </row>
    <row r="1329" spans="1:9" x14ac:dyDescent="0.25">
      <c r="A1329" s="18">
        <v>42968</v>
      </c>
      <c r="B1329">
        <v>9.33</v>
      </c>
      <c r="C1329">
        <v>3.34</v>
      </c>
      <c r="D1329">
        <v>2.4</v>
      </c>
      <c r="E1329">
        <v>19</v>
      </c>
      <c r="F1329">
        <v>4</v>
      </c>
      <c r="G1329">
        <v>0</v>
      </c>
      <c r="H1329">
        <v>0</v>
      </c>
      <c r="I1329">
        <v>0</v>
      </c>
    </row>
    <row r="1330" spans="1:9" x14ac:dyDescent="0.25">
      <c r="A1330" s="18">
        <v>42969</v>
      </c>
      <c r="B1330">
        <v>6</v>
      </c>
      <c r="C1330">
        <v>1.34</v>
      </c>
      <c r="D1330">
        <v>3.15</v>
      </c>
      <c r="E1330">
        <v>22.2</v>
      </c>
      <c r="F1330">
        <v>3</v>
      </c>
      <c r="G1330">
        <v>0</v>
      </c>
      <c r="H1330">
        <v>0</v>
      </c>
      <c r="I1330">
        <v>2</v>
      </c>
    </row>
    <row r="1331" spans="1:9" x14ac:dyDescent="0.25">
      <c r="A1331" s="18">
        <v>42970</v>
      </c>
      <c r="B1331">
        <v>3.33</v>
      </c>
      <c r="C1331">
        <v>2.33</v>
      </c>
      <c r="D1331">
        <v>2</v>
      </c>
      <c r="E1331">
        <v>42</v>
      </c>
      <c r="F1331">
        <v>8</v>
      </c>
      <c r="G1331">
        <v>0</v>
      </c>
      <c r="H1331">
        <v>9</v>
      </c>
      <c r="I1331">
        <v>3</v>
      </c>
    </row>
    <row r="1332" spans="1:9" x14ac:dyDescent="0.25">
      <c r="A1332" s="18">
        <v>42971</v>
      </c>
      <c r="B1332">
        <v>8</v>
      </c>
      <c r="C1332">
        <v>9.0530000000000008</v>
      </c>
      <c r="D1332">
        <v>2</v>
      </c>
      <c r="E1332">
        <v>27</v>
      </c>
      <c r="F1332">
        <v>13</v>
      </c>
      <c r="G1332">
        <v>0</v>
      </c>
      <c r="H1332">
        <v>1</v>
      </c>
      <c r="I1332">
        <v>3</v>
      </c>
    </row>
    <row r="1333" spans="1:9" x14ac:dyDescent="0.25">
      <c r="A1333" s="18">
        <v>42972</v>
      </c>
      <c r="B1333">
        <v>6</v>
      </c>
      <c r="C1333">
        <v>3.01</v>
      </c>
      <c r="D1333">
        <v>1</v>
      </c>
      <c r="E1333">
        <v>20.25</v>
      </c>
      <c r="F1333">
        <v>17</v>
      </c>
      <c r="G1333">
        <v>0</v>
      </c>
      <c r="H1333">
        <v>0</v>
      </c>
      <c r="I1333">
        <v>1</v>
      </c>
    </row>
    <row r="1334" spans="1:9" x14ac:dyDescent="0.25">
      <c r="A1334" s="18">
        <v>42973</v>
      </c>
      <c r="B1334">
        <v>4.99</v>
      </c>
      <c r="C1334">
        <v>3.516</v>
      </c>
      <c r="D1334">
        <v>1</v>
      </c>
      <c r="E1334">
        <v>19</v>
      </c>
      <c r="F1334">
        <v>10</v>
      </c>
      <c r="G1334">
        <v>0</v>
      </c>
      <c r="H1334">
        <v>6</v>
      </c>
      <c r="I1334">
        <v>2</v>
      </c>
    </row>
    <row r="1335" spans="1:9" x14ac:dyDescent="0.25">
      <c r="A1335" s="18">
        <v>42974</v>
      </c>
      <c r="B1335">
        <v>3</v>
      </c>
      <c r="C1335">
        <v>5.34</v>
      </c>
      <c r="D1335">
        <v>1</v>
      </c>
      <c r="E1335">
        <v>21.3</v>
      </c>
      <c r="F1335">
        <v>5</v>
      </c>
      <c r="G1335">
        <v>2</v>
      </c>
      <c r="H1335">
        <v>7</v>
      </c>
      <c r="I1335">
        <v>1</v>
      </c>
    </row>
    <row r="1336" spans="1:9" x14ac:dyDescent="0.25">
      <c r="A1336" s="18">
        <v>42975</v>
      </c>
      <c r="B1336">
        <v>8</v>
      </c>
      <c r="C1336">
        <v>7</v>
      </c>
      <c r="D1336">
        <v>5</v>
      </c>
      <c r="E1336">
        <v>16</v>
      </c>
      <c r="F1336">
        <v>12</v>
      </c>
      <c r="G1336">
        <v>0</v>
      </c>
      <c r="H1336">
        <v>1</v>
      </c>
      <c r="I1336">
        <v>3</v>
      </c>
    </row>
    <row r="1337" spans="1:9" x14ac:dyDescent="0.25">
      <c r="A1337" s="18">
        <v>42976</v>
      </c>
      <c r="B1337">
        <v>7</v>
      </c>
      <c r="C1337">
        <v>3.0659999999999998</v>
      </c>
      <c r="D1337">
        <v>3.5</v>
      </c>
      <c r="E1337">
        <v>17</v>
      </c>
      <c r="F1337">
        <v>5</v>
      </c>
      <c r="G1337">
        <v>0</v>
      </c>
      <c r="H1337">
        <v>11</v>
      </c>
      <c r="I1337">
        <v>2.1</v>
      </c>
    </row>
    <row r="1338" spans="1:9" x14ac:dyDescent="0.25">
      <c r="A1338" s="18">
        <v>42977</v>
      </c>
      <c r="B1338">
        <v>7.67</v>
      </c>
      <c r="C1338">
        <v>3.99</v>
      </c>
      <c r="D1338">
        <v>3.15</v>
      </c>
      <c r="E1338">
        <v>17</v>
      </c>
      <c r="F1338">
        <v>4</v>
      </c>
      <c r="G1338">
        <v>3</v>
      </c>
      <c r="H1338">
        <v>0</v>
      </c>
      <c r="I1338">
        <v>2</v>
      </c>
    </row>
    <row r="1339" spans="1:9" x14ac:dyDescent="0.25">
      <c r="A1339" s="18">
        <v>42978</v>
      </c>
      <c r="B1339">
        <v>16.68</v>
      </c>
      <c r="C1339">
        <v>3.0329999999999999</v>
      </c>
      <c r="D1339">
        <v>3.05</v>
      </c>
      <c r="E1339">
        <v>17</v>
      </c>
      <c r="F1339">
        <v>4</v>
      </c>
      <c r="G1339">
        <v>0</v>
      </c>
      <c r="H1339">
        <v>0</v>
      </c>
      <c r="I1339">
        <v>1</v>
      </c>
    </row>
    <row r="1340" spans="1:9" x14ac:dyDescent="0.25">
      <c r="A1340" s="18">
        <v>42979</v>
      </c>
      <c r="B1340">
        <v>3.34</v>
      </c>
      <c r="C1340">
        <v>3</v>
      </c>
      <c r="D1340">
        <v>5</v>
      </c>
      <c r="E1340">
        <v>20.6</v>
      </c>
      <c r="F1340">
        <v>8</v>
      </c>
      <c r="G1340">
        <v>0</v>
      </c>
      <c r="H1340">
        <v>2</v>
      </c>
      <c r="I1340">
        <v>0</v>
      </c>
    </row>
    <row r="1341" spans="1:9" x14ac:dyDescent="0.25">
      <c r="A1341" s="18">
        <v>42980</v>
      </c>
      <c r="B1341">
        <v>6.34</v>
      </c>
      <c r="C1341">
        <v>2.13</v>
      </c>
      <c r="D1341">
        <v>6</v>
      </c>
      <c r="E1341">
        <v>18.399999999999999</v>
      </c>
      <c r="F1341">
        <v>8</v>
      </c>
      <c r="G1341">
        <v>0</v>
      </c>
      <c r="H1341">
        <v>1</v>
      </c>
      <c r="I1341">
        <v>3</v>
      </c>
    </row>
    <row r="1342" spans="1:9" x14ac:dyDescent="0.25">
      <c r="A1342" s="18">
        <v>42981</v>
      </c>
      <c r="B1342">
        <v>6.83</v>
      </c>
      <c r="C1342">
        <v>5.4619999999999997</v>
      </c>
      <c r="D1342">
        <v>2</v>
      </c>
      <c r="E1342">
        <v>18.399999999999999</v>
      </c>
      <c r="F1342">
        <v>7</v>
      </c>
      <c r="G1342">
        <v>0</v>
      </c>
      <c r="H1342">
        <v>1</v>
      </c>
      <c r="I1342">
        <v>3</v>
      </c>
    </row>
    <row r="1343" spans="1:9" x14ac:dyDescent="0.25">
      <c r="A1343" s="18">
        <v>42982</v>
      </c>
      <c r="B1343">
        <v>6.5</v>
      </c>
      <c r="C1343">
        <v>3.33</v>
      </c>
      <c r="D1343">
        <v>6</v>
      </c>
      <c r="E1343">
        <v>24</v>
      </c>
      <c r="F1343">
        <v>7</v>
      </c>
      <c r="G1343">
        <v>0</v>
      </c>
      <c r="H1343">
        <v>0</v>
      </c>
      <c r="I1343">
        <v>3</v>
      </c>
    </row>
    <row r="1344" spans="1:9" x14ac:dyDescent="0.25">
      <c r="A1344" s="18">
        <v>42983</v>
      </c>
      <c r="B1344">
        <v>6.17</v>
      </c>
      <c r="C1344">
        <v>4.0199999999999996</v>
      </c>
      <c r="D1344">
        <v>4</v>
      </c>
      <c r="E1344">
        <v>19.100000000000001</v>
      </c>
      <c r="F1344">
        <v>7</v>
      </c>
      <c r="G1344">
        <v>1</v>
      </c>
      <c r="H1344">
        <v>2</v>
      </c>
      <c r="I1344">
        <v>1.3</v>
      </c>
    </row>
    <row r="1345" spans="1:9" x14ac:dyDescent="0.25">
      <c r="A1345" s="18">
        <v>42984</v>
      </c>
      <c r="B1345">
        <v>4.33</v>
      </c>
      <c r="C1345">
        <v>3</v>
      </c>
      <c r="D1345">
        <v>5</v>
      </c>
      <c r="E1345">
        <v>32</v>
      </c>
      <c r="F1345">
        <v>6</v>
      </c>
      <c r="G1345">
        <v>0</v>
      </c>
      <c r="H1345">
        <v>3</v>
      </c>
      <c r="I1345">
        <v>3</v>
      </c>
    </row>
    <row r="1346" spans="1:9" x14ac:dyDescent="0.25">
      <c r="A1346" s="18">
        <v>42985</v>
      </c>
      <c r="B1346">
        <v>3</v>
      </c>
      <c r="C1346">
        <v>1</v>
      </c>
      <c r="D1346">
        <v>3.2</v>
      </c>
      <c r="E1346">
        <v>18</v>
      </c>
      <c r="F1346">
        <v>2</v>
      </c>
      <c r="G1346">
        <v>0</v>
      </c>
      <c r="H1346">
        <v>0</v>
      </c>
      <c r="I1346">
        <v>2</v>
      </c>
    </row>
    <row r="1347" spans="1:9" x14ac:dyDescent="0.25">
      <c r="A1347" s="18">
        <v>42986</v>
      </c>
      <c r="B1347">
        <v>8.83</v>
      </c>
      <c r="C1347">
        <v>7.32</v>
      </c>
      <c r="D1347">
        <v>3.1</v>
      </c>
      <c r="E1347">
        <v>34</v>
      </c>
      <c r="F1347">
        <v>8</v>
      </c>
      <c r="G1347">
        <v>0</v>
      </c>
      <c r="H1347">
        <v>3</v>
      </c>
      <c r="I1347">
        <v>4</v>
      </c>
    </row>
    <row r="1348" spans="1:9" x14ac:dyDescent="0.25">
      <c r="A1348" s="18">
        <v>42987</v>
      </c>
      <c r="B1348">
        <v>6</v>
      </c>
      <c r="C1348">
        <v>8.34</v>
      </c>
      <c r="D1348">
        <v>2.5</v>
      </c>
      <c r="E1348">
        <v>20</v>
      </c>
      <c r="F1348">
        <v>7</v>
      </c>
      <c r="G1348">
        <v>0</v>
      </c>
      <c r="H1348">
        <v>0</v>
      </c>
      <c r="I1348">
        <v>4</v>
      </c>
    </row>
    <row r="1349" spans="1:9" x14ac:dyDescent="0.25">
      <c r="A1349" s="18">
        <v>42988</v>
      </c>
      <c r="B1349">
        <v>3.34</v>
      </c>
      <c r="C1349">
        <v>5.35</v>
      </c>
      <c r="D1349">
        <v>1</v>
      </c>
      <c r="E1349">
        <v>35.6</v>
      </c>
      <c r="F1349">
        <v>7</v>
      </c>
      <c r="G1349">
        <v>0</v>
      </c>
      <c r="H1349">
        <v>0</v>
      </c>
      <c r="I1349">
        <v>4.2</v>
      </c>
    </row>
    <row r="1350" spans="1:9" x14ac:dyDescent="0.25">
      <c r="A1350" s="18">
        <v>42989</v>
      </c>
      <c r="B1350">
        <v>2</v>
      </c>
      <c r="C1350">
        <v>3.3730000000000002</v>
      </c>
      <c r="D1350">
        <v>2</v>
      </c>
      <c r="E1350">
        <v>12</v>
      </c>
      <c r="F1350">
        <v>16</v>
      </c>
      <c r="G1350">
        <v>0</v>
      </c>
      <c r="H1350">
        <v>0</v>
      </c>
      <c r="I1350">
        <v>2</v>
      </c>
    </row>
    <row r="1351" spans="1:9" x14ac:dyDescent="0.25">
      <c r="A1351" s="18">
        <v>42990</v>
      </c>
      <c r="B1351">
        <v>1</v>
      </c>
      <c r="C1351">
        <v>4.3499999999999996</v>
      </c>
      <c r="D1351">
        <v>5.2</v>
      </c>
      <c r="E1351">
        <v>18.25</v>
      </c>
      <c r="F1351">
        <v>6</v>
      </c>
      <c r="G1351">
        <v>1</v>
      </c>
      <c r="H1351">
        <v>1</v>
      </c>
      <c r="I1351">
        <v>2.2000000000000002</v>
      </c>
    </row>
    <row r="1352" spans="1:9" x14ac:dyDescent="0.25">
      <c r="A1352" s="18">
        <v>42991</v>
      </c>
      <c r="B1352">
        <v>4</v>
      </c>
      <c r="C1352">
        <v>0.66</v>
      </c>
      <c r="D1352">
        <v>2</v>
      </c>
      <c r="E1352">
        <v>25</v>
      </c>
      <c r="F1352">
        <v>16</v>
      </c>
      <c r="G1352">
        <v>0</v>
      </c>
      <c r="H1352">
        <v>5</v>
      </c>
      <c r="I1352">
        <v>0</v>
      </c>
    </row>
    <row r="1353" spans="1:9" x14ac:dyDescent="0.25">
      <c r="A1353" s="18">
        <v>42992</v>
      </c>
      <c r="B1353">
        <v>5</v>
      </c>
      <c r="C1353">
        <v>5.34</v>
      </c>
      <c r="D1353">
        <v>5</v>
      </c>
      <c r="E1353">
        <v>22.4</v>
      </c>
      <c r="F1353">
        <v>6</v>
      </c>
      <c r="G1353">
        <v>0</v>
      </c>
      <c r="H1353">
        <v>9</v>
      </c>
      <c r="I1353">
        <v>5</v>
      </c>
    </row>
    <row r="1354" spans="1:9" x14ac:dyDescent="0.25">
      <c r="A1354" s="18">
        <v>42993</v>
      </c>
      <c r="B1354">
        <v>3</v>
      </c>
      <c r="C1354">
        <v>3</v>
      </c>
      <c r="D1354">
        <v>3</v>
      </c>
      <c r="E1354">
        <v>16</v>
      </c>
      <c r="F1354">
        <v>12</v>
      </c>
      <c r="G1354">
        <v>1</v>
      </c>
      <c r="H1354">
        <v>8</v>
      </c>
      <c r="I1354">
        <v>3</v>
      </c>
    </row>
    <row r="1355" spans="1:9" x14ac:dyDescent="0.25">
      <c r="A1355" s="18">
        <v>42994</v>
      </c>
      <c r="B1355">
        <v>7</v>
      </c>
      <c r="C1355">
        <v>3</v>
      </c>
      <c r="D1355">
        <v>3.45</v>
      </c>
      <c r="E1355">
        <v>27.3</v>
      </c>
      <c r="F1355">
        <v>11</v>
      </c>
      <c r="G1355">
        <v>0</v>
      </c>
      <c r="H1355">
        <v>0</v>
      </c>
      <c r="I1355">
        <v>1.2</v>
      </c>
    </row>
    <row r="1356" spans="1:9" x14ac:dyDescent="0.25">
      <c r="A1356" s="18">
        <v>42995</v>
      </c>
      <c r="B1356">
        <v>5</v>
      </c>
      <c r="C1356">
        <v>4.34</v>
      </c>
      <c r="D1356">
        <v>4</v>
      </c>
      <c r="E1356">
        <v>32</v>
      </c>
      <c r="F1356">
        <v>6</v>
      </c>
      <c r="G1356">
        <v>1</v>
      </c>
      <c r="H1356">
        <v>7</v>
      </c>
      <c r="I1356">
        <v>5</v>
      </c>
    </row>
    <row r="1357" spans="1:9" x14ac:dyDescent="0.25">
      <c r="A1357" s="18">
        <v>42996</v>
      </c>
      <c r="B1357">
        <v>9</v>
      </c>
      <c r="C1357">
        <v>4.34</v>
      </c>
      <c r="D1357">
        <v>1</v>
      </c>
      <c r="E1357">
        <v>27</v>
      </c>
      <c r="F1357">
        <v>7</v>
      </c>
      <c r="G1357">
        <v>0</v>
      </c>
      <c r="H1357">
        <v>1</v>
      </c>
      <c r="I1357">
        <v>2</v>
      </c>
    </row>
    <row r="1358" spans="1:9" x14ac:dyDescent="0.25">
      <c r="A1358" s="18">
        <v>42997</v>
      </c>
      <c r="B1358">
        <v>3.33</v>
      </c>
      <c r="C1358">
        <v>6.0330000000000004</v>
      </c>
      <c r="D1358">
        <v>1</v>
      </c>
      <c r="E1358">
        <v>43.25</v>
      </c>
      <c r="F1358">
        <v>6</v>
      </c>
      <c r="G1358">
        <v>2</v>
      </c>
      <c r="H1358">
        <v>6</v>
      </c>
      <c r="I1358">
        <v>9</v>
      </c>
    </row>
    <row r="1359" spans="1:9" x14ac:dyDescent="0.25">
      <c r="A1359" s="18">
        <v>42998</v>
      </c>
      <c r="B1359">
        <v>2</v>
      </c>
      <c r="C1359">
        <v>2.363</v>
      </c>
      <c r="D1359">
        <v>0.1</v>
      </c>
      <c r="E1359">
        <v>35.450000000000003</v>
      </c>
      <c r="F1359">
        <v>6</v>
      </c>
      <c r="G1359">
        <v>0</v>
      </c>
      <c r="H1359">
        <v>6</v>
      </c>
      <c r="I1359">
        <v>0</v>
      </c>
    </row>
    <row r="1360" spans="1:9" x14ac:dyDescent="0.25">
      <c r="A1360" s="18">
        <v>42999</v>
      </c>
      <c r="B1360">
        <v>7.34</v>
      </c>
      <c r="C1360">
        <v>3.6960000000000002</v>
      </c>
      <c r="D1360">
        <v>1</v>
      </c>
      <c r="E1360">
        <v>19.7</v>
      </c>
      <c r="F1360">
        <v>8</v>
      </c>
      <c r="G1360">
        <v>2</v>
      </c>
      <c r="H1360">
        <v>0</v>
      </c>
      <c r="I1360">
        <v>1</v>
      </c>
    </row>
    <row r="1361" spans="1:9" x14ac:dyDescent="0.25">
      <c r="A1361" s="18">
        <v>43000</v>
      </c>
      <c r="B1361">
        <v>4.66</v>
      </c>
      <c r="C1361">
        <v>2.2410000000000001</v>
      </c>
      <c r="D1361">
        <v>3</v>
      </c>
      <c r="E1361">
        <v>27.5</v>
      </c>
      <c r="F1361">
        <v>2</v>
      </c>
      <c r="G1361">
        <v>0</v>
      </c>
      <c r="H1361">
        <v>0</v>
      </c>
      <c r="I1361">
        <v>3</v>
      </c>
    </row>
    <row r="1362" spans="1:9" x14ac:dyDescent="0.25">
      <c r="A1362" s="18">
        <v>43001</v>
      </c>
      <c r="B1362">
        <v>9.99</v>
      </c>
      <c r="C1362">
        <v>6.99</v>
      </c>
      <c r="D1362">
        <v>3</v>
      </c>
      <c r="E1362">
        <v>14.45</v>
      </c>
      <c r="F1362">
        <v>12</v>
      </c>
      <c r="G1362">
        <v>2</v>
      </c>
      <c r="H1362">
        <v>0</v>
      </c>
      <c r="I1362">
        <v>2</v>
      </c>
    </row>
    <row r="1363" spans="1:9" x14ac:dyDescent="0.25">
      <c r="A1363" s="18">
        <v>43002</v>
      </c>
      <c r="B1363">
        <v>3.66</v>
      </c>
      <c r="C1363">
        <v>4.8259999999999996</v>
      </c>
      <c r="D1363">
        <v>2</v>
      </c>
      <c r="E1363">
        <v>52.4</v>
      </c>
      <c r="F1363">
        <v>7</v>
      </c>
      <c r="G1363">
        <v>1</v>
      </c>
      <c r="H1363">
        <v>6</v>
      </c>
      <c r="I1363">
        <v>1</v>
      </c>
    </row>
    <row r="1364" spans="1:9" x14ac:dyDescent="0.25">
      <c r="A1364" s="18">
        <v>43003</v>
      </c>
      <c r="B1364">
        <v>1</v>
      </c>
      <c r="C1364">
        <v>2.5169999999999999</v>
      </c>
      <c r="D1364">
        <v>1</v>
      </c>
      <c r="E1364">
        <v>39.200000000000003</v>
      </c>
      <c r="F1364">
        <v>7</v>
      </c>
      <c r="G1364">
        <v>3</v>
      </c>
      <c r="H1364">
        <v>26</v>
      </c>
      <c r="I1364">
        <v>1</v>
      </c>
    </row>
    <row r="1365" spans="1:9" x14ac:dyDescent="0.25">
      <c r="A1365" s="18">
        <v>43004</v>
      </c>
      <c r="B1365">
        <v>2</v>
      </c>
      <c r="C1365">
        <v>5.67</v>
      </c>
      <c r="D1365">
        <v>2.1</v>
      </c>
      <c r="E1365">
        <v>38.6</v>
      </c>
      <c r="F1365">
        <v>4</v>
      </c>
      <c r="G1365">
        <v>0</v>
      </c>
      <c r="H1365">
        <v>6</v>
      </c>
      <c r="I1365">
        <v>1</v>
      </c>
    </row>
    <row r="1366" spans="1:9" x14ac:dyDescent="0.25">
      <c r="A1366" s="18">
        <v>43005</v>
      </c>
      <c r="B1366">
        <v>4</v>
      </c>
      <c r="C1366">
        <v>2.33</v>
      </c>
      <c r="D1366">
        <v>3</v>
      </c>
      <c r="E1366">
        <v>38</v>
      </c>
      <c r="F1366">
        <v>7</v>
      </c>
      <c r="G1366">
        <v>3</v>
      </c>
      <c r="H1366">
        <v>3</v>
      </c>
      <c r="I1366">
        <v>0</v>
      </c>
    </row>
    <row r="1367" spans="1:9" x14ac:dyDescent="0.25">
      <c r="A1367" s="18">
        <v>43006</v>
      </c>
      <c r="B1367">
        <v>3.34</v>
      </c>
      <c r="C1367">
        <v>2.68</v>
      </c>
      <c r="D1367">
        <v>2.5</v>
      </c>
      <c r="E1367">
        <v>37.85</v>
      </c>
      <c r="F1367">
        <v>3</v>
      </c>
      <c r="G1367">
        <v>0</v>
      </c>
      <c r="H1367">
        <v>10</v>
      </c>
      <c r="I1367">
        <v>0</v>
      </c>
    </row>
    <row r="1368" spans="1:9" x14ac:dyDescent="0.25">
      <c r="A1368" s="18">
        <v>43007</v>
      </c>
      <c r="B1368">
        <v>1</v>
      </c>
      <c r="C1368">
        <v>5</v>
      </c>
      <c r="D1368">
        <v>3</v>
      </c>
      <c r="E1368">
        <v>35.4</v>
      </c>
      <c r="F1368">
        <v>8</v>
      </c>
      <c r="G1368">
        <v>6</v>
      </c>
      <c r="H1368">
        <v>5</v>
      </c>
      <c r="I1368">
        <v>1</v>
      </c>
    </row>
    <row r="1369" spans="1:9" x14ac:dyDescent="0.25">
      <c r="A1369" s="18">
        <v>43008</v>
      </c>
      <c r="B1369">
        <v>5.33</v>
      </c>
      <c r="C1369">
        <v>3.01</v>
      </c>
      <c r="D1369">
        <v>3</v>
      </c>
      <c r="E1369">
        <v>61.9</v>
      </c>
      <c r="F1369">
        <v>6</v>
      </c>
      <c r="G1369">
        <v>0</v>
      </c>
      <c r="H1369">
        <v>28</v>
      </c>
      <c r="I1369">
        <v>0</v>
      </c>
    </row>
    <row r="1370" spans="1:9" x14ac:dyDescent="0.25">
      <c r="A1370" s="18">
        <v>43009</v>
      </c>
      <c r="B1370">
        <v>4</v>
      </c>
      <c r="C1370">
        <v>5.891</v>
      </c>
      <c r="D1370">
        <v>3</v>
      </c>
      <c r="E1370">
        <v>72.099999999999994</v>
      </c>
      <c r="F1370">
        <v>7</v>
      </c>
      <c r="G1370">
        <v>1</v>
      </c>
      <c r="H1370">
        <v>20</v>
      </c>
      <c r="I1370">
        <v>1</v>
      </c>
    </row>
    <row r="1371" spans="1:9" x14ac:dyDescent="0.25">
      <c r="A1371" s="18">
        <v>43010</v>
      </c>
      <c r="B1371">
        <v>8.33</v>
      </c>
      <c r="C1371">
        <v>2</v>
      </c>
      <c r="D1371">
        <v>3.15</v>
      </c>
      <c r="E1371">
        <v>18</v>
      </c>
      <c r="F1371">
        <v>3</v>
      </c>
      <c r="G1371">
        <v>1</v>
      </c>
      <c r="H1371">
        <v>0</v>
      </c>
      <c r="I1371">
        <v>0</v>
      </c>
    </row>
    <row r="1372" spans="1:9" x14ac:dyDescent="0.25">
      <c r="A1372" s="18">
        <v>43011</v>
      </c>
      <c r="B1372">
        <v>0.34</v>
      </c>
      <c r="C1372">
        <v>2.1</v>
      </c>
      <c r="D1372">
        <v>3.15</v>
      </c>
      <c r="E1372">
        <v>57.2</v>
      </c>
      <c r="F1372">
        <v>21</v>
      </c>
      <c r="G1372">
        <v>3</v>
      </c>
      <c r="H1372">
        <v>5</v>
      </c>
      <c r="I1372">
        <v>2</v>
      </c>
    </row>
    <row r="1373" spans="1:9" x14ac:dyDescent="0.25">
      <c r="A1373" s="18">
        <v>43012</v>
      </c>
      <c r="B1373">
        <v>2</v>
      </c>
      <c r="C1373">
        <v>4.33</v>
      </c>
      <c r="D1373">
        <v>4</v>
      </c>
      <c r="E1373">
        <v>37</v>
      </c>
      <c r="F1373">
        <v>6</v>
      </c>
      <c r="G1373">
        <v>0</v>
      </c>
      <c r="H1373">
        <v>2</v>
      </c>
      <c r="I1373">
        <v>1</v>
      </c>
    </row>
    <row r="1374" spans="1:9" x14ac:dyDescent="0.25">
      <c r="A1374" s="18">
        <v>43013</v>
      </c>
      <c r="B1374">
        <v>5.33</v>
      </c>
      <c r="C1374">
        <v>3.99</v>
      </c>
      <c r="D1374">
        <v>5</v>
      </c>
      <c r="E1374">
        <v>40.799999999999997</v>
      </c>
      <c r="F1374">
        <v>5</v>
      </c>
      <c r="G1374">
        <v>0</v>
      </c>
      <c r="H1374">
        <v>11</v>
      </c>
      <c r="I1374">
        <v>2</v>
      </c>
    </row>
    <row r="1375" spans="1:9" x14ac:dyDescent="0.25">
      <c r="A1375" s="18">
        <v>43014</v>
      </c>
      <c r="B1375">
        <v>3.99</v>
      </c>
      <c r="C1375">
        <v>4.66</v>
      </c>
      <c r="D1375">
        <v>1</v>
      </c>
      <c r="E1375">
        <v>39.799999999999997</v>
      </c>
      <c r="F1375">
        <v>7</v>
      </c>
      <c r="G1375">
        <v>0</v>
      </c>
      <c r="H1375">
        <v>6</v>
      </c>
      <c r="I1375">
        <v>2</v>
      </c>
    </row>
    <row r="1376" spans="1:9" x14ac:dyDescent="0.25">
      <c r="A1376" s="18">
        <v>43015</v>
      </c>
      <c r="B1376">
        <v>4</v>
      </c>
      <c r="C1376">
        <v>2.0230000000000001</v>
      </c>
      <c r="D1376">
        <v>2</v>
      </c>
      <c r="E1376">
        <v>35.25</v>
      </c>
      <c r="F1376">
        <v>4</v>
      </c>
      <c r="G1376">
        <v>0</v>
      </c>
      <c r="H1376">
        <v>10</v>
      </c>
      <c r="I1376">
        <v>1</v>
      </c>
    </row>
    <row r="1377" spans="1:9" x14ac:dyDescent="0.25">
      <c r="A1377" s="18">
        <v>43016</v>
      </c>
      <c r="B1377">
        <v>8.67</v>
      </c>
      <c r="C1377">
        <v>3.2610000000000001</v>
      </c>
      <c r="D1377">
        <v>5.2</v>
      </c>
      <c r="E1377">
        <v>77.099999999999994</v>
      </c>
      <c r="F1377">
        <v>2</v>
      </c>
      <c r="G1377">
        <v>0</v>
      </c>
      <c r="H1377">
        <v>15</v>
      </c>
      <c r="I1377">
        <v>4</v>
      </c>
    </row>
    <row r="1378" spans="1:9" x14ac:dyDescent="0.25">
      <c r="A1378" s="18">
        <v>43017</v>
      </c>
      <c r="B1378">
        <v>3.33</v>
      </c>
      <c r="C1378">
        <v>5.0659999999999998</v>
      </c>
      <c r="D1378">
        <v>2</v>
      </c>
      <c r="E1378">
        <v>57.6</v>
      </c>
      <c r="F1378">
        <v>7</v>
      </c>
      <c r="G1378">
        <v>0</v>
      </c>
      <c r="H1378">
        <v>5</v>
      </c>
      <c r="I1378">
        <v>1</v>
      </c>
    </row>
    <row r="1379" spans="1:9" x14ac:dyDescent="0.25">
      <c r="A1379" s="18">
        <v>43018</v>
      </c>
      <c r="B1379">
        <v>10</v>
      </c>
      <c r="C1379">
        <v>2.68</v>
      </c>
      <c r="D1379">
        <v>2</v>
      </c>
      <c r="E1379">
        <v>25</v>
      </c>
      <c r="F1379">
        <v>8</v>
      </c>
      <c r="G1379">
        <v>0</v>
      </c>
      <c r="H1379">
        <v>11</v>
      </c>
      <c r="I1379">
        <v>3</v>
      </c>
    </row>
    <row r="1380" spans="1:9" x14ac:dyDescent="0.25">
      <c r="A1380" s="18">
        <v>43019</v>
      </c>
      <c r="B1380">
        <v>3.5</v>
      </c>
      <c r="C1380">
        <v>1</v>
      </c>
      <c r="D1380">
        <v>4.5999999999999996</v>
      </c>
      <c r="E1380">
        <v>39.4</v>
      </c>
      <c r="F1380">
        <v>2</v>
      </c>
      <c r="G1380">
        <v>0</v>
      </c>
      <c r="H1380">
        <v>6</v>
      </c>
      <c r="I1380">
        <v>2.5</v>
      </c>
    </row>
    <row r="1381" spans="1:9" x14ac:dyDescent="0.25">
      <c r="A1381" s="18">
        <v>43020</v>
      </c>
      <c r="B1381">
        <v>4</v>
      </c>
      <c r="C1381">
        <v>2.3929999999999998</v>
      </c>
      <c r="D1381">
        <v>2.2999999999999998</v>
      </c>
      <c r="E1381">
        <v>41</v>
      </c>
      <c r="F1381">
        <v>9</v>
      </c>
      <c r="G1381">
        <v>0</v>
      </c>
      <c r="H1381">
        <v>1</v>
      </c>
      <c r="I1381">
        <v>2</v>
      </c>
    </row>
    <row r="1382" spans="1:9" x14ac:dyDescent="0.25">
      <c r="A1382" s="18">
        <v>43021</v>
      </c>
      <c r="B1382">
        <v>5.33</v>
      </c>
      <c r="C1382">
        <v>1.3959999999999999</v>
      </c>
      <c r="D1382">
        <v>0.6</v>
      </c>
      <c r="E1382">
        <v>38</v>
      </c>
      <c r="F1382">
        <v>8</v>
      </c>
      <c r="G1382">
        <v>2</v>
      </c>
      <c r="H1382">
        <v>3</v>
      </c>
      <c r="I1382">
        <v>4</v>
      </c>
    </row>
    <row r="1383" spans="1:9" x14ac:dyDescent="0.25">
      <c r="A1383" s="18">
        <v>43022</v>
      </c>
      <c r="B1383">
        <v>4.84</v>
      </c>
      <c r="C1383">
        <v>3.66</v>
      </c>
      <c r="D1383">
        <v>4</v>
      </c>
      <c r="E1383">
        <v>42.2</v>
      </c>
      <c r="F1383">
        <v>9</v>
      </c>
      <c r="G1383">
        <v>1</v>
      </c>
      <c r="H1383">
        <v>20</v>
      </c>
      <c r="I1383">
        <v>0</v>
      </c>
    </row>
    <row r="1384" spans="1:9" x14ac:dyDescent="0.25">
      <c r="A1384" s="18">
        <v>43023</v>
      </c>
      <c r="B1384">
        <v>6</v>
      </c>
      <c r="C1384">
        <v>6.68</v>
      </c>
      <c r="D1384">
        <v>1</v>
      </c>
      <c r="E1384">
        <v>37</v>
      </c>
      <c r="F1384">
        <v>5</v>
      </c>
      <c r="G1384">
        <v>0</v>
      </c>
      <c r="H1384">
        <v>11</v>
      </c>
      <c r="I1384">
        <v>2</v>
      </c>
    </row>
    <row r="1385" spans="1:9" x14ac:dyDescent="0.25">
      <c r="A1385" s="18">
        <v>43024</v>
      </c>
      <c r="B1385">
        <v>2.33</v>
      </c>
      <c r="C1385">
        <v>0.67</v>
      </c>
      <c r="D1385">
        <v>0</v>
      </c>
      <c r="E1385">
        <v>45.1</v>
      </c>
      <c r="F1385">
        <v>9</v>
      </c>
      <c r="G1385">
        <v>0</v>
      </c>
      <c r="H1385">
        <v>2</v>
      </c>
      <c r="I1385">
        <v>2</v>
      </c>
    </row>
    <row r="1386" spans="1:9" x14ac:dyDescent="0.25">
      <c r="A1386" s="18">
        <v>43025</v>
      </c>
      <c r="B1386">
        <v>3.34</v>
      </c>
      <c r="C1386">
        <v>1.67</v>
      </c>
      <c r="D1386">
        <v>6</v>
      </c>
      <c r="E1386">
        <v>26.2</v>
      </c>
      <c r="F1386">
        <v>9</v>
      </c>
      <c r="G1386">
        <v>2</v>
      </c>
      <c r="H1386">
        <v>6</v>
      </c>
      <c r="I1386">
        <v>1</v>
      </c>
    </row>
    <row r="1387" spans="1:9" x14ac:dyDescent="0.25">
      <c r="A1387" s="18">
        <v>43026</v>
      </c>
      <c r="B1387">
        <v>5.34</v>
      </c>
      <c r="C1387">
        <v>1.33</v>
      </c>
      <c r="D1387">
        <v>1</v>
      </c>
      <c r="E1387">
        <v>52.85</v>
      </c>
      <c r="F1387">
        <v>15</v>
      </c>
      <c r="G1387">
        <v>0</v>
      </c>
      <c r="H1387">
        <v>1</v>
      </c>
      <c r="I1387">
        <v>1</v>
      </c>
    </row>
    <row r="1388" spans="1:9" x14ac:dyDescent="0.25">
      <c r="A1388" s="18">
        <v>43027</v>
      </c>
      <c r="B1388">
        <v>4.33</v>
      </c>
      <c r="C1388">
        <v>5.99</v>
      </c>
      <c r="D1388">
        <v>4.7</v>
      </c>
      <c r="E1388">
        <v>25.5</v>
      </c>
      <c r="F1388">
        <v>8</v>
      </c>
      <c r="G1388">
        <v>0</v>
      </c>
      <c r="H1388">
        <v>13</v>
      </c>
      <c r="I1388">
        <v>0</v>
      </c>
    </row>
    <row r="1389" spans="1:9" x14ac:dyDescent="0.25">
      <c r="A1389" s="18">
        <v>43028</v>
      </c>
      <c r="B1389">
        <v>2.83</v>
      </c>
      <c r="C1389">
        <v>4.3630000000000004</v>
      </c>
      <c r="D1389">
        <v>3</v>
      </c>
      <c r="E1389">
        <v>36.25</v>
      </c>
      <c r="F1389">
        <v>15</v>
      </c>
      <c r="G1389">
        <v>0</v>
      </c>
      <c r="H1389">
        <v>8</v>
      </c>
      <c r="I1389">
        <v>0</v>
      </c>
    </row>
    <row r="1390" spans="1:9" x14ac:dyDescent="0.25">
      <c r="A1390" s="18">
        <v>43029</v>
      </c>
      <c r="B1390">
        <v>3.33</v>
      </c>
      <c r="C1390">
        <v>3.7690000000000001</v>
      </c>
      <c r="D1390">
        <v>3.3</v>
      </c>
      <c r="E1390">
        <v>25.2</v>
      </c>
      <c r="F1390">
        <v>9</v>
      </c>
      <c r="G1390">
        <v>3</v>
      </c>
      <c r="H1390">
        <v>5</v>
      </c>
      <c r="I1390">
        <v>4</v>
      </c>
    </row>
    <row r="1391" spans="1:9" x14ac:dyDescent="0.25">
      <c r="A1391" s="18">
        <v>43030</v>
      </c>
      <c r="B1391">
        <v>8</v>
      </c>
      <c r="C1391">
        <v>5</v>
      </c>
      <c r="D1391">
        <v>5</v>
      </c>
      <c r="E1391">
        <v>57.8</v>
      </c>
      <c r="F1391">
        <v>8</v>
      </c>
      <c r="G1391">
        <v>0</v>
      </c>
      <c r="H1391">
        <v>9</v>
      </c>
      <c r="I1391">
        <v>2</v>
      </c>
    </row>
    <row r="1392" spans="1:9" x14ac:dyDescent="0.25">
      <c r="A1392" s="18">
        <v>43031</v>
      </c>
      <c r="B1392">
        <v>3.33</v>
      </c>
      <c r="C1392">
        <v>1.363</v>
      </c>
      <c r="D1392">
        <v>2</v>
      </c>
      <c r="E1392">
        <v>28.6</v>
      </c>
      <c r="F1392">
        <v>4</v>
      </c>
      <c r="G1392">
        <v>0</v>
      </c>
      <c r="H1392">
        <v>28</v>
      </c>
      <c r="I1392">
        <v>1</v>
      </c>
    </row>
    <row r="1393" spans="1:9" x14ac:dyDescent="0.25">
      <c r="A1393" s="18">
        <v>43032</v>
      </c>
      <c r="B1393">
        <v>2</v>
      </c>
      <c r="C1393">
        <v>2</v>
      </c>
      <c r="D1393">
        <v>10</v>
      </c>
      <c r="E1393">
        <v>65.2</v>
      </c>
      <c r="F1393">
        <v>3</v>
      </c>
      <c r="G1393">
        <v>0</v>
      </c>
      <c r="H1393">
        <v>10</v>
      </c>
      <c r="I1393">
        <v>1</v>
      </c>
    </row>
    <row r="1394" spans="1:9" x14ac:dyDescent="0.25">
      <c r="A1394" s="18">
        <v>43033</v>
      </c>
      <c r="B1394">
        <v>6.34</v>
      </c>
      <c r="C1394">
        <v>3.33</v>
      </c>
      <c r="D1394">
        <v>5.35</v>
      </c>
      <c r="E1394">
        <v>26.9</v>
      </c>
      <c r="F1394">
        <v>4</v>
      </c>
      <c r="G1394">
        <v>0</v>
      </c>
      <c r="H1394">
        <v>1</v>
      </c>
      <c r="I1394">
        <v>1</v>
      </c>
    </row>
    <row r="1395" spans="1:9" x14ac:dyDescent="0.25">
      <c r="A1395" s="18">
        <v>43034</v>
      </c>
      <c r="B1395">
        <v>1.33</v>
      </c>
      <c r="C1395">
        <v>1.099</v>
      </c>
      <c r="D1395">
        <v>2</v>
      </c>
      <c r="E1395">
        <v>38</v>
      </c>
      <c r="F1395">
        <v>9</v>
      </c>
      <c r="G1395">
        <v>1</v>
      </c>
      <c r="H1395">
        <v>5</v>
      </c>
      <c r="I1395">
        <v>2.2999999999999998</v>
      </c>
    </row>
    <row r="1396" spans="1:9" x14ac:dyDescent="0.25">
      <c r="A1396" s="18">
        <v>43035</v>
      </c>
      <c r="B1396">
        <v>6.32</v>
      </c>
      <c r="C1396">
        <v>2.363</v>
      </c>
      <c r="D1396">
        <v>6</v>
      </c>
      <c r="E1396">
        <v>26</v>
      </c>
      <c r="F1396">
        <v>14</v>
      </c>
      <c r="G1396">
        <v>1</v>
      </c>
      <c r="H1396">
        <v>21</v>
      </c>
      <c r="I1396">
        <v>2</v>
      </c>
    </row>
    <row r="1397" spans="1:9" x14ac:dyDescent="0.25">
      <c r="A1397" s="18">
        <v>43036</v>
      </c>
      <c r="B1397">
        <v>5</v>
      </c>
      <c r="C1397">
        <v>2.33</v>
      </c>
      <c r="D1397">
        <v>4</v>
      </c>
      <c r="E1397">
        <v>24.1</v>
      </c>
      <c r="F1397">
        <v>11</v>
      </c>
      <c r="G1397">
        <v>0</v>
      </c>
      <c r="H1397">
        <v>7</v>
      </c>
      <c r="I1397">
        <v>3</v>
      </c>
    </row>
    <row r="1398" spans="1:9" x14ac:dyDescent="0.25">
      <c r="A1398" s="18">
        <v>43037</v>
      </c>
      <c r="B1398">
        <v>7.66</v>
      </c>
      <c r="C1398">
        <v>2.3730000000000002</v>
      </c>
      <c r="D1398">
        <v>1.05</v>
      </c>
      <c r="E1398">
        <v>36</v>
      </c>
      <c r="F1398">
        <v>3</v>
      </c>
      <c r="G1398">
        <v>0</v>
      </c>
      <c r="H1398">
        <v>1</v>
      </c>
      <c r="I1398">
        <v>2.2000000000000002</v>
      </c>
    </row>
    <row r="1399" spans="1:9" x14ac:dyDescent="0.25">
      <c r="A1399" s="18">
        <v>43038</v>
      </c>
      <c r="B1399">
        <v>1.5</v>
      </c>
      <c r="C1399">
        <v>3.66</v>
      </c>
      <c r="D1399">
        <v>2</v>
      </c>
      <c r="E1399">
        <v>32.799999999999997</v>
      </c>
      <c r="F1399">
        <v>7</v>
      </c>
      <c r="G1399">
        <v>0</v>
      </c>
      <c r="H1399">
        <v>9</v>
      </c>
      <c r="I1399">
        <v>1</v>
      </c>
    </row>
    <row r="1400" spans="1:9" x14ac:dyDescent="0.25">
      <c r="A1400" s="18">
        <v>43039</v>
      </c>
      <c r="B1400">
        <v>4.33</v>
      </c>
      <c r="C1400">
        <v>1.363</v>
      </c>
      <c r="D1400">
        <v>4</v>
      </c>
      <c r="E1400">
        <v>38</v>
      </c>
      <c r="F1400">
        <v>2</v>
      </c>
      <c r="G1400">
        <v>0</v>
      </c>
      <c r="H1400">
        <v>0</v>
      </c>
      <c r="I1400">
        <v>1</v>
      </c>
    </row>
    <row r="1401" spans="1:9" x14ac:dyDescent="0.25">
      <c r="A1401" s="18">
        <v>43040</v>
      </c>
      <c r="B1401">
        <v>0.67</v>
      </c>
      <c r="C1401">
        <v>3.4289999999999998</v>
      </c>
      <c r="D1401">
        <v>2</v>
      </c>
      <c r="E1401">
        <v>23</v>
      </c>
      <c r="F1401">
        <v>5</v>
      </c>
      <c r="G1401">
        <v>0</v>
      </c>
      <c r="H1401">
        <v>3</v>
      </c>
      <c r="I1401">
        <v>1</v>
      </c>
    </row>
    <row r="1402" spans="1:9" x14ac:dyDescent="0.25">
      <c r="A1402" s="18">
        <v>43041</v>
      </c>
      <c r="B1402">
        <v>4</v>
      </c>
      <c r="C1402">
        <v>2.0659999999999998</v>
      </c>
      <c r="D1402">
        <v>1.55</v>
      </c>
      <c r="E1402">
        <v>22.1</v>
      </c>
      <c r="F1402">
        <v>5</v>
      </c>
      <c r="G1402">
        <v>0</v>
      </c>
      <c r="H1402">
        <v>11</v>
      </c>
      <c r="I1402">
        <v>3</v>
      </c>
    </row>
    <row r="1403" spans="1:9" x14ac:dyDescent="0.25">
      <c r="A1403" s="18">
        <v>43042</v>
      </c>
      <c r="B1403">
        <v>2.33</v>
      </c>
      <c r="C1403">
        <v>7.67</v>
      </c>
      <c r="D1403">
        <v>4.4000000000000004</v>
      </c>
      <c r="E1403">
        <v>37.4</v>
      </c>
      <c r="F1403">
        <v>10</v>
      </c>
      <c r="G1403">
        <v>3</v>
      </c>
      <c r="H1403">
        <v>6</v>
      </c>
      <c r="I1403">
        <v>1</v>
      </c>
    </row>
    <row r="1404" spans="1:9" x14ac:dyDescent="0.25">
      <c r="A1404" s="18">
        <v>43043</v>
      </c>
      <c r="B1404">
        <v>10.34</v>
      </c>
      <c r="C1404">
        <v>7.4720000000000004</v>
      </c>
      <c r="D1404">
        <v>6</v>
      </c>
      <c r="E1404">
        <v>33</v>
      </c>
      <c r="F1404">
        <v>5</v>
      </c>
      <c r="G1404">
        <v>0</v>
      </c>
      <c r="H1404">
        <v>1</v>
      </c>
      <c r="I1404">
        <v>3.2</v>
      </c>
    </row>
    <row r="1405" spans="1:9" x14ac:dyDescent="0.25">
      <c r="A1405" s="18">
        <v>43044</v>
      </c>
      <c r="B1405">
        <v>6.33</v>
      </c>
      <c r="C1405">
        <v>5.7990000000000004</v>
      </c>
      <c r="D1405">
        <v>1.1000000000000001</v>
      </c>
      <c r="E1405">
        <v>35.450000000000003</v>
      </c>
      <c r="F1405">
        <v>1</v>
      </c>
      <c r="G1405">
        <v>0</v>
      </c>
      <c r="H1405">
        <v>5</v>
      </c>
      <c r="I1405">
        <v>2</v>
      </c>
    </row>
    <row r="1406" spans="1:9" x14ac:dyDescent="0.25">
      <c r="A1406" s="18">
        <v>43045</v>
      </c>
      <c r="B1406">
        <v>8.34</v>
      </c>
      <c r="C1406">
        <v>3.2</v>
      </c>
      <c r="D1406">
        <v>2</v>
      </c>
      <c r="E1406">
        <v>20.2</v>
      </c>
      <c r="F1406">
        <v>11</v>
      </c>
      <c r="G1406">
        <v>3</v>
      </c>
      <c r="H1406">
        <v>8</v>
      </c>
      <c r="I1406">
        <v>1</v>
      </c>
    </row>
    <row r="1407" spans="1:9" x14ac:dyDescent="0.25">
      <c r="A1407" s="18">
        <v>43046</v>
      </c>
      <c r="B1407">
        <v>0.67</v>
      </c>
      <c r="C1407">
        <v>4</v>
      </c>
      <c r="D1407">
        <v>7</v>
      </c>
      <c r="E1407">
        <v>20</v>
      </c>
      <c r="F1407">
        <v>4</v>
      </c>
      <c r="G1407">
        <v>0</v>
      </c>
      <c r="H1407">
        <v>0</v>
      </c>
      <c r="I1407">
        <v>1.5</v>
      </c>
    </row>
    <row r="1408" spans="1:9" x14ac:dyDescent="0.25">
      <c r="A1408" s="18">
        <v>43047</v>
      </c>
      <c r="B1408">
        <v>6</v>
      </c>
      <c r="C1408">
        <v>1.1000000000000001</v>
      </c>
      <c r="D1408">
        <v>2</v>
      </c>
      <c r="E1408">
        <v>9.1999999999999993</v>
      </c>
      <c r="F1408">
        <v>1</v>
      </c>
      <c r="G1408">
        <v>0</v>
      </c>
      <c r="H1408">
        <v>5</v>
      </c>
      <c r="I1408">
        <v>1</v>
      </c>
    </row>
    <row r="1409" spans="1:9" x14ac:dyDescent="0.25">
      <c r="A1409" s="18">
        <v>43048</v>
      </c>
      <c r="B1409">
        <v>2.67</v>
      </c>
      <c r="C1409">
        <v>3.746</v>
      </c>
      <c r="D1409">
        <v>0</v>
      </c>
      <c r="E1409">
        <v>28.8</v>
      </c>
      <c r="F1409">
        <v>2</v>
      </c>
      <c r="G1409">
        <v>0</v>
      </c>
      <c r="H1409">
        <v>11</v>
      </c>
      <c r="I1409">
        <v>1</v>
      </c>
    </row>
    <row r="1410" spans="1:9" x14ac:dyDescent="0.25">
      <c r="A1410" s="18">
        <v>43049</v>
      </c>
      <c r="B1410">
        <v>9.34</v>
      </c>
      <c r="C1410">
        <v>6.66</v>
      </c>
      <c r="D1410">
        <v>6.2</v>
      </c>
      <c r="E1410">
        <v>34</v>
      </c>
      <c r="F1410">
        <v>9</v>
      </c>
      <c r="G1410">
        <v>0</v>
      </c>
      <c r="H1410">
        <v>22</v>
      </c>
      <c r="I1410">
        <v>2</v>
      </c>
    </row>
    <row r="1411" spans="1:9" x14ac:dyDescent="0.25">
      <c r="A1411" s="18">
        <v>43050</v>
      </c>
      <c r="B1411">
        <v>8.5</v>
      </c>
      <c r="C1411">
        <v>3</v>
      </c>
      <c r="D1411">
        <v>4.0999999999999996</v>
      </c>
      <c r="E1411">
        <v>32</v>
      </c>
      <c r="F1411">
        <v>8</v>
      </c>
      <c r="G1411">
        <v>0</v>
      </c>
      <c r="H1411">
        <v>2</v>
      </c>
      <c r="I1411">
        <v>0</v>
      </c>
    </row>
    <row r="1412" spans="1:9" x14ac:dyDescent="0.25">
      <c r="A1412" s="18">
        <v>43051</v>
      </c>
      <c r="B1412">
        <v>5</v>
      </c>
      <c r="C1412">
        <v>3.65</v>
      </c>
      <c r="D1412">
        <v>6.15</v>
      </c>
      <c r="E1412">
        <v>40</v>
      </c>
      <c r="F1412">
        <v>9</v>
      </c>
      <c r="G1412">
        <v>0</v>
      </c>
      <c r="H1412">
        <v>3</v>
      </c>
      <c r="I1412">
        <v>2</v>
      </c>
    </row>
    <row r="1413" spans="1:9" x14ac:dyDescent="0.25">
      <c r="A1413" s="18">
        <v>43052</v>
      </c>
      <c r="B1413">
        <v>9.33</v>
      </c>
      <c r="C1413">
        <v>2.4289999999999998</v>
      </c>
      <c r="D1413">
        <v>4.2</v>
      </c>
      <c r="E1413">
        <v>44.2</v>
      </c>
      <c r="F1413">
        <v>5</v>
      </c>
      <c r="G1413">
        <v>0</v>
      </c>
      <c r="H1413">
        <v>5</v>
      </c>
      <c r="I1413">
        <v>0.2</v>
      </c>
    </row>
    <row r="1414" spans="1:9" x14ac:dyDescent="0.25">
      <c r="A1414" s="18">
        <v>43053</v>
      </c>
      <c r="B1414">
        <v>3</v>
      </c>
      <c r="C1414">
        <v>0.85899999999999999</v>
      </c>
      <c r="D1414">
        <v>2</v>
      </c>
      <c r="E1414">
        <v>6.8</v>
      </c>
      <c r="F1414">
        <v>14</v>
      </c>
      <c r="G1414">
        <v>0</v>
      </c>
      <c r="H1414">
        <v>19</v>
      </c>
      <c r="I1414">
        <v>1</v>
      </c>
    </row>
    <row r="1415" spans="1:9" x14ac:dyDescent="0.25">
      <c r="A1415" s="18">
        <v>43054</v>
      </c>
      <c r="B1415">
        <v>5.33</v>
      </c>
      <c r="C1415">
        <v>2.726</v>
      </c>
      <c r="D1415">
        <v>7.7</v>
      </c>
      <c r="E1415">
        <v>17</v>
      </c>
      <c r="F1415">
        <v>8</v>
      </c>
      <c r="G1415">
        <v>3</v>
      </c>
      <c r="H1415">
        <v>0</v>
      </c>
      <c r="I1415">
        <v>1</v>
      </c>
    </row>
    <row r="1416" spans="1:9" x14ac:dyDescent="0.25">
      <c r="A1416" s="18">
        <v>43055</v>
      </c>
      <c r="B1416">
        <v>5.33</v>
      </c>
      <c r="C1416">
        <v>2</v>
      </c>
      <c r="D1416">
        <v>3</v>
      </c>
      <c r="E1416">
        <v>17.600000000000001</v>
      </c>
      <c r="F1416">
        <v>3</v>
      </c>
      <c r="G1416">
        <v>0</v>
      </c>
      <c r="H1416">
        <v>1</v>
      </c>
      <c r="I1416">
        <v>1</v>
      </c>
    </row>
    <row r="1417" spans="1:9" x14ac:dyDescent="0.25">
      <c r="A1417" s="18">
        <v>43056</v>
      </c>
      <c r="B1417">
        <v>3</v>
      </c>
      <c r="C1417">
        <v>4.8369999999999997</v>
      </c>
      <c r="D1417">
        <v>3</v>
      </c>
      <c r="E1417">
        <v>34</v>
      </c>
      <c r="F1417">
        <v>5</v>
      </c>
      <c r="G1417">
        <v>0</v>
      </c>
      <c r="H1417">
        <v>30</v>
      </c>
      <c r="I1417">
        <v>2</v>
      </c>
    </row>
    <row r="1418" spans="1:9" x14ac:dyDescent="0.25">
      <c r="A1418" s="18">
        <v>43057</v>
      </c>
      <c r="B1418">
        <v>5.33</v>
      </c>
      <c r="C1418">
        <v>8.4499999999999993</v>
      </c>
      <c r="D1418">
        <v>2</v>
      </c>
      <c r="E1418">
        <v>42.5</v>
      </c>
      <c r="F1418">
        <v>2</v>
      </c>
      <c r="G1418">
        <v>0</v>
      </c>
      <c r="H1418">
        <v>8</v>
      </c>
      <c r="I1418">
        <v>1.2</v>
      </c>
    </row>
    <row r="1419" spans="1:9" x14ac:dyDescent="0.25">
      <c r="A1419" s="18">
        <v>43058</v>
      </c>
      <c r="B1419">
        <v>4</v>
      </c>
      <c r="C1419">
        <v>6.88</v>
      </c>
      <c r="D1419">
        <v>1</v>
      </c>
      <c r="E1419">
        <v>29</v>
      </c>
      <c r="F1419">
        <v>3</v>
      </c>
      <c r="G1419">
        <v>0</v>
      </c>
      <c r="H1419">
        <v>6</v>
      </c>
      <c r="I1419">
        <v>2.5</v>
      </c>
    </row>
    <row r="1420" spans="1:9" x14ac:dyDescent="0.25">
      <c r="A1420" s="18">
        <v>43059</v>
      </c>
      <c r="B1420">
        <v>2.34</v>
      </c>
      <c r="C1420">
        <v>5.34</v>
      </c>
      <c r="D1420">
        <v>2.4</v>
      </c>
      <c r="E1420">
        <v>28.8</v>
      </c>
      <c r="F1420">
        <v>10</v>
      </c>
      <c r="G1420">
        <v>0</v>
      </c>
      <c r="H1420">
        <v>2</v>
      </c>
      <c r="I1420">
        <v>0</v>
      </c>
    </row>
    <row r="1421" spans="1:9" x14ac:dyDescent="0.25">
      <c r="A1421" s="18">
        <v>43060</v>
      </c>
      <c r="B1421">
        <v>13.33</v>
      </c>
      <c r="C1421">
        <v>0.68</v>
      </c>
      <c r="D1421">
        <v>1</v>
      </c>
      <c r="E1421">
        <v>22.4</v>
      </c>
      <c r="F1421">
        <v>5</v>
      </c>
      <c r="G1421">
        <v>0</v>
      </c>
      <c r="H1421">
        <v>2</v>
      </c>
      <c r="I1421">
        <v>1</v>
      </c>
    </row>
    <row r="1422" spans="1:9" x14ac:dyDescent="0.25">
      <c r="A1422" s="18">
        <v>43061</v>
      </c>
      <c r="B1422">
        <v>2</v>
      </c>
      <c r="C1422">
        <v>4</v>
      </c>
      <c r="D1422">
        <v>1</v>
      </c>
      <c r="E1422">
        <v>26.1</v>
      </c>
      <c r="F1422">
        <v>20</v>
      </c>
      <c r="G1422">
        <v>0</v>
      </c>
      <c r="H1422">
        <v>1</v>
      </c>
      <c r="I1422">
        <v>1</v>
      </c>
    </row>
    <row r="1423" spans="1:9" x14ac:dyDescent="0.25">
      <c r="A1423" s="18">
        <v>43062</v>
      </c>
      <c r="B1423">
        <v>9.33</v>
      </c>
      <c r="C1423">
        <v>5.99</v>
      </c>
      <c r="D1423">
        <v>6</v>
      </c>
      <c r="E1423">
        <v>34.299999999999997</v>
      </c>
      <c r="F1423">
        <v>14</v>
      </c>
      <c r="G1423">
        <v>0</v>
      </c>
      <c r="H1423">
        <v>0</v>
      </c>
      <c r="I1423">
        <v>3</v>
      </c>
    </row>
    <row r="1424" spans="1:9" x14ac:dyDescent="0.25">
      <c r="A1424" s="18">
        <v>43063</v>
      </c>
      <c r="B1424">
        <v>8</v>
      </c>
      <c r="C1424">
        <v>3.1320000000000001</v>
      </c>
      <c r="D1424">
        <v>5</v>
      </c>
      <c r="E1424">
        <v>34.323999999999998</v>
      </c>
      <c r="F1424">
        <v>5</v>
      </c>
      <c r="G1424">
        <v>2</v>
      </c>
      <c r="H1424">
        <v>2</v>
      </c>
      <c r="I1424">
        <v>0</v>
      </c>
    </row>
    <row r="1425" spans="1:9" x14ac:dyDescent="0.25">
      <c r="A1425" s="18">
        <v>43064</v>
      </c>
      <c r="B1425">
        <v>5.33</v>
      </c>
      <c r="C1425">
        <v>6.0759999999999996</v>
      </c>
      <c r="D1425">
        <v>4.0999999999999996</v>
      </c>
      <c r="E1425">
        <v>26.5</v>
      </c>
      <c r="F1425">
        <v>8</v>
      </c>
      <c r="G1425">
        <v>0</v>
      </c>
      <c r="H1425">
        <v>2</v>
      </c>
      <c r="I1425">
        <v>0</v>
      </c>
    </row>
    <row r="1426" spans="1:9" x14ac:dyDescent="0.25">
      <c r="A1426" s="18">
        <v>43065</v>
      </c>
      <c r="B1426">
        <v>5.66</v>
      </c>
      <c r="C1426">
        <v>5.7859999999999996</v>
      </c>
      <c r="D1426">
        <v>1</v>
      </c>
      <c r="E1426">
        <v>31.2</v>
      </c>
      <c r="F1426">
        <v>2</v>
      </c>
      <c r="G1426">
        <v>1</v>
      </c>
      <c r="H1426">
        <v>12</v>
      </c>
      <c r="I1426">
        <v>2</v>
      </c>
    </row>
    <row r="1427" spans="1:9" x14ac:dyDescent="0.25">
      <c r="A1427" s="18">
        <v>43066</v>
      </c>
      <c r="B1427">
        <v>1.34</v>
      </c>
      <c r="C1427">
        <v>3.67</v>
      </c>
      <c r="D1427">
        <v>6.1</v>
      </c>
      <c r="E1427">
        <v>34.825000000000003</v>
      </c>
      <c r="F1427">
        <v>4</v>
      </c>
      <c r="G1427">
        <v>0</v>
      </c>
      <c r="H1427">
        <v>7</v>
      </c>
      <c r="I1427">
        <v>3</v>
      </c>
    </row>
    <row r="1428" spans="1:9" x14ac:dyDescent="0.25">
      <c r="A1428" s="18">
        <v>43067</v>
      </c>
      <c r="B1428">
        <v>5</v>
      </c>
      <c r="C1428">
        <v>1.34</v>
      </c>
      <c r="D1428">
        <v>5.35</v>
      </c>
      <c r="E1428">
        <v>40.6</v>
      </c>
      <c r="F1428">
        <v>5</v>
      </c>
      <c r="G1428">
        <v>3</v>
      </c>
      <c r="H1428">
        <v>8</v>
      </c>
      <c r="I1428">
        <v>3</v>
      </c>
    </row>
    <row r="1429" spans="1:9" x14ac:dyDescent="0.25">
      <c r="A1429" s="18">
        <v>43068</v>
      </c>
      <c r="B1429">
        <v>6.34</v>
      </c>
      <c r="C1429">
        <v>2.3969999999999998</v>
      </c>
      <c r="D1429">
        <v>4.0999999999999996</v>
      </c>
      <c r="E1429">
        <v>32.6</v>
      </c>
      <c r="F1429">
        <v>7</v>
      </c>
      <c r="G1429">
        <v>0</v>
      </c>
      <c r="H1429">
        <v>5</v>
      </c>
      <c r="I1429">
        <v>3</v>
      </c>
    </row>
    <row r="1430" spans="1:9" x14ac:dyDescent="0.25">
      <c r="A1430" s="18">
        <v>43069</v>
      </c>
      <c r="B1430">
        <v>5.67</v>
      </c>
      <c r="C1430">
        <v>1.3959999999999999</v>
      </c>
      <c r="D1430">
        <v>3</v>
      </c>
      <c r="E1430">
        <v>30</v>
      </c>
      <c r="F1430">
        <v>2</v>
      </c>
      <c r="G1430">
        <v>0</v>
      </c>
      <c r="H1430">
        <v>9</v>
      </c>
      <c r="I1430">
        <v>3</v>
      </c>
    </row>
    <row r="1431" spans="1:9" x14ac:dyDescent="0.25">
      <c r="A1431" s="18">
        <v>43070</v>
      </c>
      <c r="B1431">
        <v>10.33</v>
      </c>
      <c r="C1431">
        <v>7.66</v>
      </c>
      <c r="D1431">
        <v>1</v>
      </c>
      <c r="E1431">
        <v>25.4</v>
      </c>
      <c r="F1431">
        <v>3</v>
      </c>
      <c r="G1431">
        <v>0</v>
      </c>
      <c r="H1431">
        <v>5</v>
      </c>
      <c r="I1431">
        <v>2</v>
      </c>
    </row>
    <row r="1432" spans="1:9" x14ac:dyDescent="0.25">
      <c r="A1432" s="18">
        <v>43071</v>
      </c>
      <c r="B1432">
        <v>4.33</v>
      </c>
      <c r="C1432">
        <v>3.67</v>
      </c>
      <c r="D1432">
        <v>5</v>
      </c>
      <c r="E1432">
        <v>22</v>
      </c>
      <c r="F1432">
        <v>11</v>
      </c>
      <c r="G1432">
        <v>0</v>
      </c>
      <c r="H1432">
        <v>0</v>
      </c>
      <c r="I1432">
        <v>1.5</v>
      </c>
    </row>
    <row r="1433" spans="1:9" x14ac:dyDescent="0.25">
      <c r="A1433" s="18">
        <v>43072</v>
      </c>
      <c r="B1433">
        <v>5.33</v>
      </c>
      <c r="C1433">
        <v>6.0229999999999997</v>
      </c>
      <c r="D1433">
        <v>3</v>
      </c>
      <c r="E1433">
        <v>33.4</v>
      </c>
      <c r="F1433">
        <v>3</v>
      </c>
      <c r="G1433">
        <v>0</v>
      </c>
      <c r="H1433">
        <v>6</v>
      </c>
      <c r="I1433">
        <v>2</v>
      </c>
    </row>
    <row r="1434" spans="1:9" x14ac:dyDescent="0.25">
      <c r="A1434" s="18">
        <v>43073</v>
      </c>
      <c r="B1434">
        <v>1</v>
      </c>
      <c r="C1434">
        <v>2.363</v>
      </c>
      <c r="D1434">
        <v>4</v>
      </c>
      <c r="E1434">
        <v>15.6</v>
      </c>
      <c r="F1434">
        <v>3</v>
      </c>
      <c r="G1434">
        <v>0</v>
      </c>
      <c r="H1434">
        <v>13</v>
      </c>
      <c r="I1434">
        <v>3</v>
      </c>
    </row>
    <row r="1435" spans="1:9" x14ac:dyDescent="0.25">
      <c r="A1435" s="18">
        <v>43074</v>
      </c>
      <c r="B1435">
        <v>3.68</v>
      </c>
      <c r="C1435">
        <v>3.165</v>
      </c>
      <c r="D1435">
        <v>4.05</v>
      </c>
      <c r="E1435">
        <v>17.100000000000001</v>
      </c>
      <c r="F1435">
        <v>1</v>
      </c>
      <c r="G1435">
        <v>0</v>
      </c>
      <c r="H1435">
        <v>6</v>
      </c>
      <c r="I1435">
        <v>2</v>
      </c>
    </row>
    <row r="1436" spans="1:9" x14ac:dyDescent="0.25">
      <c r="A1436" s="18">
        <v>43075</v>
      </c>
      <c r="B1436">
        <v>4</v>
      </c>
      <c r="C1436">
        <v>4.3959999999999999</v>
      </c>
      <c r="D1436">
        <v>2.1</v>
      </c>
      <c r="E1436">
        <v>29.2</v>
      </c>
      <c r="F1436">
        <v>12</v>
      </c>
      <c r="G1436">
        <v>0</v>
      </c>
      <c r="H1436">
        <v>6</v>
      </c>
      <c r="I1436">
        <v>1</v>
      </c>
    </row>
    <row r="1437" spans="1:9" x14ac:dyDescent="0.25">
      <c r="A1437" s="18">
        <v>43076</v>
      </c>
      <c r="B1437">
        <v>3</v>
      </c>
      <c r="C1437">
        <v>2.66</v>
      </c>
      <c r="D1437">
        <v>5.45</v>
      </c>
      <c r="E1437">
        <v>24.9</v>
      </c>
      <c r="F1437">
        <v>8</v>
      </c>
      <c r="G1437">
        <v>0</v>
      </c>
      <c r="H1437">
        <v>7</v>
      </c>
      <c r="I1437">
        <v>1</v>
      </c>
    </row>
    <row r="1438" spans="1:9" x14ac:dyDescent="0.25">
      <c r="A1438" s="18">
        <v>43077</v>
      </c>
      <c r="B1438">
        <v>5.33</v>
      </c>
      <c r="C1438">
        <v>2.5099999999999998</v>
      </c>
      <c r="D1438">
        <v>3.5</v>
      </c>
      <c r="E1438">
        <v>44.2</v>
      </c>
      <c r="F1438">
        <v>5</v>
      </c>
      <c r="G1438">
        <v>1</v>
      </c>
      <c r="H1438">
        <v>7</v>
      </c>
      <c r="I1438">
        <v>2</v>
      </c>
    </row>
    <row r="1439" spans="1:9" x14ac:dyDescent="0.25">
      <c r="A1439" s="18">
        <v>43078</v>
      </c>
      <c r="B1439">
        <v>5</v>
      </c>
      <c r="C1439">
        <v>2.17</v>
      </c>
      <c r="D1439">
        <v>5.4</v>
      </c>
      <c r="E1439">
        <v>36.6</v>
      </c>
      <c r="F1439">
        <v>14</v>
      </c>
      <c r="G1439">
        <v>0</v>
      </c>
      <c r="H1439">
        <v>7</v>
      </c>
      <c r="I1439">
        <v>2</v>
      </c>
    </row>
    <row r="1440" spans="1:9" x14ac:dyDescent="0.25">
      <c r="A1440" s="18">
        <v>43079</v>
      </c>
      <c r="B1440">
        <v>5</v>
      </c>
      <c r="C1440">
        <v>2.802</v>
      </c>
      <c r="D1440">
        <v>5</v>
      </c>
      <c r="E1440">
        <v>48</v>
      </c>
      <c r="F1440">
        <v>7</v>
      </c>
      <c r="G1440">
        <v>0</v>
      </c>
      <c r="H1440">
        <v>18</v>
      </c>
      <c r="I1440">
        <v>2</v>
      </c>
    </row>
    <row r="1441" spans="1:9" x14ac:dyDescent="0.25">
      <c r="A1441" s="18">
        <v>43080</v>
      </c>
      <c r="B1441">
        <v>8</v>
      </c>
      <c r="C1441">
        <v>6</v>
      </c>
      <c r="D1441">
        <v>5.5</v>
      </c>
      <c r="E1441">
        <v>34.4</v>
      </c>
      <c r="F1441">
        <v>10</v>
      </c>
      <c r="G1441">
        <v>0</v>
      </c>
      <c r="H1441">
        <v>6</v>
      </c>
      <c r="I1441">
        <v>1</v>
      </c>
    </row>
    <row r="1442" spans="1:9" x14ac:dyDescent="0.25">
      <c r="A1442" s="18">
        <v>43081</v>
      </c>
      <c r="B1442">
        <v>1.33</v>
      </c>
      <c r="C1442">
        <v>5.0659999999999998</v>
      </c>
      <c r="D1442">
        <v>3</v>
      </c>
      <c r="E1442">
        <v>44</v>
      </c>
      <c r="F1442">
        <v>6</v>
      </c>
      <c r="G1442">
        <v>1</v>
      </c>
      <c r="H1442">
        <v>12</v>
      </c>
      <c r="I1442">
        <v>2</v>
      </c>
    </row>
    <row r="1443" spans="1:9" x14ac:dyDescent="0.25">
      <c r="A1443" s="18">
        <v>43082</v>
      </c>
      <c r="B1443">
        <v>4</v>
      </c>
      <c r="C1443">
        <v>3.34</v>
      </c>
      <c r="D1443">
        <v>2.2999999999999998</v>
      </c>
      <c r="E1443">
        <v>29</v>
      </c>
      <c r="F1443">
        <v>9</v>
      </c>
      <c r="G1443">
        <v>0</v>
      </c>
      <c r="H1443">
        <v>0</v>
      </c>
      <c r="I1443">
        <v>1</v>
      </c>
    </row>
    <row r="1444" spans="1:9" x14ac:dyDescent="0.25">
      <c r="A1444" s="18">
        <v>43083</v>
      </c>
      <c r="B1444">
        <v>3</v>
      </c>
      <c r="C1444">
        <v>3</v>
      </c>
      <c r="D1444">
        <v>3</v>
      </c>
      <c r="E1444">
        <v>30</v>
      </c>
      <c r="F1444">
        <v>5</v>
      </c>
      <c r="G1444">
        <v>0</v>
      </c>
      <c r="H1444">
        <v>0</v>
      </c>
      <c r="I1444">
        <v>3</v>
      </c>
    </row>
    <row r="1445" spans="1:9" x14ac:dyDescent="0.25">
      <c r="A1445" s="18">
        <v>43084</v>
      </c>
      <c r="B1445">
        <v>4.18</v>
      </c>
      <c r="C1445">
        <v>5.01</v>
      </c>
      <c r="D1445">
        <v>2.5</v>
      </c>
      <c r="E1445">
        <v>29</v>
      </c>
      <c r="F1445">
        <v>6</v>
      </c>
      <c r="G1445">
        <v>0</v>
      </c>
      <c r="H1445">
        <v>0</v>
      </c>
      <c r="I1445">
        <v>1</v>
      </c>
    </row>
    <row r="1446" spans="1:9" x14ac:dyDescent="0.25">
      <c r="A1446" s="18">
        <v>43085</v>
      </c>
      <c r="B1446">
        <v>11</v>
      </c>
      <c r="C1446">
        <v>6</v>
      </c>
      <c r="D1446">
        <v>3</v>
      </c>
      <c r="E1446">
        <v>36.6</v>
      </c>
      <c r="F1446">
        <v>6</v>
      </c>
      <c r="G1446">
        <v>1</v>
      </c>
      <c r="H1446">
        <v>1</v>
      </c>
      <c r="I1446">
        <v>2</v>
      </c>
    </row>
    <row r="1447" spans="1:9" x14ac:dyDescent="0.25">
      <c r="A1447" s="18">
        <v>43086</v>
      </c>
      <c r="B1447">
        <v>7</v>
      </c>
      <c r="C1447">
        <v>0.33</v>
      </c>
      <c r="D1447">
        <v>5.0999999999999996</v>
      </c>
      <c r="E1447">
        <v>37</v>
      </c>
      <c r="F1447">
        <v>11</v>
      </c>
      <c r="G1447">
        <v>0</v>
      </c>
      <c r="H1447">
        <v>15</v>
      </c>
      <c r="I1447">
        <v>2</v>
      </c>
    </row>
    <row r="1448" spans="1:9" x14ac:dyDescent="0.25">
      <c r="A1448" s="18">
        <v>43087</v>
      </c>
      <c r="B1448">
        <v>0.66</v>
      </c>
      <c r="C1448">
        <v>4.67</v>
      </c>
      <c r="D1448">
        <v>6</v>
      </c>
      <c r="E1448">
        <v>31.6</v>
      </c>
      <c r="F1448">
        <v>7</v>
      </c>
      <c r="G1448">
        <v>0</v>
      </c>
      <c r="H1448">
        <v>8</v>
      </c>
      <c r="I1448">
        <v>0</v>
      </c>
    </row>
    <row r="1449" spans="1:9" x14ac:dyDescent="0.25">
      <c r="A1449" s="18">
        <v>43088</v>
      </c>
      <c r="B1449">
        <v>2.5</v>
      </c>
      <c r="C1449">
        <v>2.0990000000000002</v>
      </c>
      <c r="D1449">
        <v>3</v>
      </c>
      <c r="E1449">
        <v>56.9</v>
      </c>
      <c r="F1449">
        <v>8</v>
      </c>
      <c r="G1449">
        <v>0</v>
      </c>
      <c r="H1449">
        <v>5</v>
      </c>
      <c r="I1449">
        <v>2</v>
      </c>
    </row>
    <row r="1450" spans="1:9" x14ac:dyDescent="0.25">
      <c r="A1450" s="18">
        <v>43089</v>
      </c>
      <c r="B1450">
        <v>2</v>
      </c>
      <c r="C1450">
        <v>3.3959999999999999</v>
      </c>
      <c r="D1450">
        <v>3</v>
      </c>
      <c r="E1450">
        <v>27.2</v>
      </c>
      <c r="F1450">
        <v>3</v>
      </c>
      <c r="G1450">
        <v>0</v>
      </c>
      <c r="H1450">
        <v>11</v>
      </c>
      <c r="I1450">
        <v>2</v>
      </c>
    </row>
    <row r="1451" spans="1:9" x14ac:dyDescent="0.25">
      <c r="A1451" s="18">
        <v>43090</v>
      </c>
      <c r="B1451">
        <v>2.02</v>
      </c>
      <c r="C1451">
        <v>2.66</v>
      </c>
      <c r="D1451">
        <v>4</v>
      </c>
      <c r="E1451">
        <v>23.4</v>
      </c>
      <c r="F1451">
        <v>5</v>
      </c>
      <c r="G1451">
        <v>0</v>
      </c>
      <c r="H1451">
        <v>6</v>
      </c>
      <c r="I1451">
        <v>0</v>
      </c>
    </row>
    <row r="1452" spans="1:9" x14ac:dyDescent="0.25">
      <c r="A1452" s="18">
        <v>43091</v>
      </c>
      <c r="B1452">
        <v>5.99</v>
      </c>
      <c r="C1452">
        <v>2.7690000000000001</v>
      </c>
      <c r="D1452">
        <v>1.5</v>
      </c>
      <c r="E1452">
        <v>26</v>
      </c>
      <c r="F1452">
        <v>13</v>
      </c>
      <c r="G1452">
        <v>0</v>
      </c>
      <c r="H1452">
        <v>1</v>
      </c>
      <c r="I1452">
        <v>1.6</v>
      </c>
    </row>
    <row r="1453" spans="1:9" x14ac:dyDescent="0.25">
      <c r="A1453" s="18">
        <v>43092</v>
      </c>
      <c r="B1453">
        <v>6</v>
      </c>
      <c r="C1453">
        <v>4.5049999999999999</v>
      </c>
      <c r="D1453">
        <v>6.1</v>
      </c>
      <c r="E1453">
        <v>28.3</v>
      </c>
      <c r="F1453">
        <v>6</v>
      </c>
      <c r="G1453">
        <v>0</v>
      </c>
      <c r="H1453">
        <v>1</v>
      </c>
      <c r="I1453">
        <v>1</v>
      </c>
    </row>
    <row r="1454" spans="1:9" x14ac:dyDescent="0.25">
      <c r="A1454" s="18">
        <v>43093</v>
      </c>
      <c r="B1454">
        <v>7.66</v>
      </c>
      <c r="C1454">
        <v>3.46</v>
      </c>
      <c r="D1454">
        <v>2</v>
      </c>
      <c r="E1454">
        <v>32.200000000000003</v>
      </c>
      <c r="F1454">
        <v>4</v>
      </c>
      <c r="G1454">
        <v>0</v>
      </c>
      <c r="H1454">
        <v>5</v>
      </c>
      <c r="I1454">
        <v>1</v>
      </c>
    </row>
    <row r="1455" spans="1:9" x14ac:dyDescent="0.25">
      <c r="A1455" s="18">
        <v>43094</v>
      </c>
      <c r="B1455">
        <v>1</v>
      </c>
      <c r="C1455">
        <v>0.62</v>
      </c>
      <c r="D1455">
        <v>4.0999999999999996</v>
      </c>
      <c r="E1455">
        <v>15.53</v>
      </c>
      <c r="F1455">
        <v>4</v>
      </c>
      <c r="G1455">
        <v>0</v>
      </c>
      <c r="H1455">
        <v>6</v>
      </c>
      <c r="I1455">
        <v>2</v>
      </c>
    </row>
    <row r="1456" spans="1:9" x14ac:dyDescent="0.25">
      <c r="A1456" s="18">
        <v>43095</v>
      </c>
      <c r="B1456">
        <v>2.99</v>
      </c>
      <c r="C1456">
        <v>4.67</v>
      </c>
      <c r="D1456">
        <v>3.5</v>
      </c>
      <c r="E1456">
        <v>56.9</v>
      </c>
      <c r="F1456">
        <v>9</v>
      </c>
      <c r="G1456">
        <v>0</v>
      </c>
      <c r="H1456">
        <v>9</v>
      </c>
      <c r="I1456">
        <v>2</v>
      </c>
    </row>
    <row r="1457" spans="1:9" x14ac:dyDescent="0.25">
      <c r="A1457" s="18">
        <v>43096</v>
      </c>
      <c r="B1457">
        <v>7</v>
      </c>
      <c r="C1457">
        <v>4.8140000000000001</v>
      </c>
      <c r="D1457">
        <v>5.15</v>
      </c>
      <c r="E1457">
        <v>32.700000000000003</v>
      </c>
      <c r="F1457">
        <v>9</v>
      </c>
      <c r="G1457">
        <v>0</v>
      </c>
      <c r="H1457">
        <v>3</v>
      </c>
      <c r="I1457">
        <v>0</v>
      </c>
    </row>
    <row r="1458" spans="1:9" x14ac:dyDescent="0.25">
      <c r="A1458" s="18">
        <v>43097</v>
      </c>
      <c r="B1458">
        <v>7.33</v>
      </c>
      <c r="C1458">
        <v>3.4620000000000002</v>
      </c>
      <c r="D1458">
        <v>5.0999999999999996</v>
      </c>
      <c r="E1458">
        <v>35.35</v>
      </c>
      <c r="F1458">
        <v>12</v>
      </c>
      <c r="G1458">
        <v>3</v>
      </c>
      <c r="H1458">
        <v>24</v>
      </c>
      <c r="I1458">
        <v>1</v>
      </c>
    </row>
    <row r="1459" spans="1:9" x14ac:dyDescent="0.25">
      <c r="A1459" s="18">
        <v>43098</v>
      </c>
      <c r="B1459">
        <v>9.34</v>
      </c>
      <c r="C1459">
        <v>2.0659999999999998</v>
      </c>
      <c r="D1459">
        <v>2.5</v>
      </c>
      <c r="E1459">
        <v>41.4</v>
      </c>
      <c r="F1459">
        <v>17</v>
      </c>
      <c r="G1459">
        <v>0</v>
      </c>
      <c r="H1459">
        <v>11</v>
      </c>
      <c r="I1459">
        <v>2</v>
      </c>
    </row>
    <row r="1460" spans="1:9" x14ac:dyDescent="0.25">
      <c r="A1460" s="18">
        <v>43099</v>
      </c>
      <c r="B1460">
        <v>8.68</v>
      </c>
      <c r="C1460">
        <v>8.3629999999999995</v>
      </c>
      <c r="D1460">
        <v>4</v>
      </c>
      <c r="E1460">
        <v>50</v>
      </c>
      <c r="F1460">
        <v>8</v>
      </c>
      <c r="G1460">
        <v>0</v>
      </c>
      <c r="H1460">
        <v>10</v>
      </c>
      <c r="I1460">
        <v>3</v>
      </c>
    </row>
    <row r="1461" spans="1:9" x14ac:dyDescent="0.25">
      <c r="A1461" s="18">
        <v>43100</v>
      </c>
      <c r="B1461">
        <v>13.83</v>
      </c>
      <c r="C1461">
        <v>10.042999999999999</v>
      </c>
      <c r="D1461">
        <v>5.3</v>
      </c>
      <c r="E1461">
        <v>70.2</v>
      </c>
      <c r="F1461">
        <v>9</v>
      </c>
      <c r="G1461">
        <v>0</v>
      </c>
      <c r="H1461">
        <v>0</v>
      </c>
      <c r="I1461">
        <v>1</v>
      </c>
    </row>
    <row r="1462" spans="1:9" x14ac:dyDescent="0.25">
      <c r="A1462" s="18">
        <v>43101</v>
      </c>
      <c r="B1462">
        <v>5.33</v>
      </c>
      <c r="C1462">
        <v>5.1550000000000002</v>
      </c>
      <c r="D1462">
        <v>5</v>
      </c>
      <c r="E1462">
        <v>50.6</v>
      </c>
      <c r="F1462">
        <v>4</v>
      </c>
      <c r="G1462">
        <v>0</v>
      </c>
      <c r="H1462">
        <v>3</v>
      </c>
      <c r="I1462">
        <v>1</v>
      </c>
    </row>
    <row r="1463" spans="1:9" x14ac:dyDescent="0.25">
      <c r="A1463" s="18">
        <v>43102</v>
      </c>
      <c r="B1463">
        <v>1</v>
      </c>
      <c r="C1463">
        <v>5.33</v>
      </c>
      <c r="D1463">
        <v>2.25</v>
      </c>
      <c r="E1463">
        <v>38</v>
      </c>
      <c r="F1463">
        <v>3</v>
      </c>
      <c r="G1463">
        <v>0</v>
      </c>
      <c r="H1463">
        <v>2</v>
      </c>
      <c r="I1463">
        <v>2</v>
      </c>
    </row>
    <row r="1464" spans="1:9" x14ac:dyDescent="0.25">
      <c r="A1464" s="18">
        <v>43103</v>
      </c>
      <c r="B1464">
        <v>4.67</v>
      </c>
      <c r="C1464">
        <v>2.3969999999999998</v>
      </c>
      <c r="D1464">
        <v>3</v>
      </c>
      <c r="E1464">
        <v>54</v>
      </c>
      <c r="F1464">
        <v>4</v>
      </c>
      <c r="G1464">
        <v>0</v>
      </c>
      <c r="H1464">
        <v>10</v>
      </c>
      <c r="I1464">
        <v>3</v>
      </c>
    </row>
    <row r="1465" spans="1:9" x14ac:dyDescent="0.25">
      <c r="A1465" s="18">
        <v>43104</v>
      </c>
      <c r="B1465">
        <v>6</v>
      </c>
      <c r="C1465">
        <v>1.099</v>
      </c>
      <c r="D1465">
        <v>1</v>
      </c>
      <c r="E1465">
        <v>39.200000000000003</v>
      </c>
      <c r="F1465">
        <v>9</v>
      </c>
      <c r="G1465">
        <v>0</v>
      </c>
      <c r="H1465">
        <v>1</v>
      </c>
      <c r="I1465">
        <v>2</v>
      </c>
    </row>
    <row r="1466" spans="1:9" x14ac:dyDescent="0.25">
      <c r="A1466" s="18">
        <v>43105</v>
      </c>
      <c r="B1466">
        <v>12</v>
      </c>
      <c r="C1466">
        <v>6.8250000000000002</v>
      </c>
      <c r="D1466">
        <v>3</v>
      </c>
      <c r="E1466">
        <v>26</v>
      </c>
      <c r="F1466">
        <v>11</v>
      </c>
      <c r="G1466">
        <v>0</v>
      </c>
      <c r="H1466">
        <v>21</v>
      </c>
      <c r="I1466">
        <v>1</v>
      </c>
    </row>
    <row r="1467" spans="1:9" x14ac:dyDescent="0.25">
      <c r="A1467" s="18">
        <v>43106</v>
      </c>
      <c r="B1467">
        <v>4.66</v>
      </c>
      <c r="C1467">
        <v>1.66</v>
      </c>
      <c r="D1467">
        <v>2.2000000000000002</v>
      </c>
      <c r="E1467">
        <v>73</v>
      </c>
      <c r="F1467">
        <v>4</v>
      </c>
      <c r="G1467">
        <v>0</v>
      </c>
      <c r="H1467">
        <v>5</v>
      </c>
      <c r="I1467">
        <v>8</v>
      </c>
    </row>
    <row r="1468" spans="1:9" x14ac:dyDescent="0.25">
      <c r="A1468" s="18">
        <v>43107</v>
      </c>
      <c r="B1468">
        <v>13.83</v>
      </c>
      <c r="C1468">
        <v>1.68</v>
      </c>
      <c r="D1468">
        <v>3</v>
      </c>
      <c r="E1468">
        <v>70.2</v>
      </c>
      <c r="F1468">
        <v>7</v>
      </c>
      <c r="G1468">
        <v>0</v>
      </c>
      <c r="H1468">
        <v>0</v>
      </c>
      <c r="I1468">
        <v>3.5</v>
      </c>
    </row>
    <row r="1469" spans="1:9" x14ac:dyDescent="0.25">
      <c r="A1469" s="18">
        <v>43108</v>
      </c>
      <c r="B1469">
        <v>2.33</v>
      </c>
      <c r="C1469">
        <v>6.53</v>
      </c>
      <c r="D1469">
        <v>4.2</v>
      </c>
      <c r="E1469">
        <v>29.6</v>
      </c>
      <c r="F1469">
        <v>5</v>
      </c>
      <c r="G1469">
        <v>0</v>
      </c>
      <c r="H1469">
        <v>0</v>
      </c>
      <c r="I1469">
        <v>1</v>
      </c>
    </row>
    <row r="1470" spans="1:9" x14ac:dyDescent="0.25">
      <c r="A1470" s="18">
        <v>43109</v>
      </c>
      <c r="B1470">
        <v>5.33</v>
      </c>
      <c r="C1470">
        <v>2.0990000000000002</v>
      </c>
      <c r="D1470">
        <v>5</v>
      </c>
      <c r="E1470">
        <v>33.825000000000003</v>
      </c>
      <c r="F1470">
        <v>9</v>
      </c>
      <c r="G1470">
        <v>6</v>
      </c>
      <c r="H1470">
        <v>10</v>
      </c>
      <c r="I1470">
        <v>1</v>
      </c>
    </row>
    <row r="1471" spans="1:9" x14ac:dyDescent="0.25">
      <c r="A1471" s="18">
        <v>43110</v>
      </c>
      <c r="B1471">
        <v>9.33</v>
      </c>
      <c r="C1471">
        <v>7.4059999999999997</v>
      </c>
      <c r="D1471">
        <v>6</v>
      </c>
      <c r="E1471">
        <v>44.5</v>
      </c>
      <c r="F1471">
        <v>12</v>
      </c>
      <c r="G1471">
        <v>0</v>
      </c>
      <c r="H1471">
        <v>6</v>
      </c>
      <c r="I1471">
        <v>2</v>
      </c>
    </row>
    <row r="1472" spans="1:9" x14ac:dyDescent="0.25">
      <c r="A1472" s="18">
        <v>43111</v>
      </c>
      <c r="B1472">
        <v>4</v>
      </c>
      <c r="C1472">
        <v>4.33</v>
      </c>
      <c r="D1472">
        <v>5.5</v>
      </c>
      <c r="E1472">
        <v>37.6</v>
      </c>
      <c r="F1472">
        <v>7</v>
      </c>
      <c r="G1472">
        <v>0</v>
      </c>
      <c r="H1472">
        <v>5</v>
      </c>
      <c r="I1472">
        <v>0</v>
      </c>
    </row>
    <row r="1473" spans="1:9" x14ac:dyDescent="0.25">
      <c r="A1473" s="18">
        <v>43112</v>
      </c>
      <c r="B1473">
        <v>5.66</v>
      </c>
      <c r="C1473">
        <v>1.33</v>
      </c>
      <c r="D1473">
        <v>3</v>
      </c>
      <c r="E1473">
        <v>42</v>
      </c>
      <c r="F1473">
        <v>11</v>
      </c>
      <c r="G1473">
        <v>0</v>
      </c>
      <c r="H1473">
        <v>10</v>
      </c>
      <c r="I1473">
        <v>0</v>
      </c>
    </row>
    <row r="1474" spans="1:9" x14ac:dyDescent="0.25">
      <c r="A1474" s="18">
        <v>43113</v>
      </c>
      <c r="B1474">
        <v>3.5</v>
      </c>
      <c r="C1474">
        <v>3.4950000000000001</v>
      </c>
      <c r="D1474">
        <v>3.2</v>
      </c>
      <c r="E1474">
        <v>32</v>
      </c>
      <c r="F1474">
        <v>6</v>
      </c>
      <c r="G1474">
        <v>0</v>
      </c>
      <c r="H1474">
        <v>8</v>
      </c>
      <c r="I1474">
        <v>1</v>
      </c>
    </row>
    <row r="1475" spans="1:9" x14ac:dyDescent="0.25">
      <c r="A1475" s="18">
        <v>43114</v>
      </c>
      <c r="B1475">
        <v>4.33</v>
      </c>
      <c r="C1475">
        <v>5.1550000000000002</v>
      </c>
      <c r="D1475">
        <v>1.2</v>
      </c>
      <c r="E1475">
        <v>36</v>
      </c>
      <c r="F1475">
        <v>2</v>
      </c>
      <c r="G1475">
        <v>0</v>
      </c>
      <c r="H1475">
        <v>5</v>
      </c>
      <c r="I1475">
        <v>1</v>
      </c>
    </row>
    <row r="1476" spans="1:9" x14ac:dyDescent="0.25">
      <c r="A1476" s="18">
        <v>43115</v>
      </c>
      <c r="B1476">
        <v>6.99</v>
      </c>
      <c r="C1476">
        <v>2</v>
      </c>
      <c r="D1476">
        <v>5.0999999999999996</v>
      </c>
      <c r="E1476">
        <v>26</v>
      </c>
      <c r="F1476">
        <v>8</v>
      </c>
      <c r="G1476">
        <v>0</v>
      </c>
      <c r="H1476">
        <v>15</v>
      </c>
      <c r="I1476">
        <v>2</v>
      </c>
    </row>
    <row r="1477" spans="1:9" x14ac:dyDescent="0.25">
      <c r="A1477" s="18">
        <v>43116</v>
      </c>
      <c r="B1477">
        <v>6.34</v>
      </c>
      <c r="C1477">
        <v>2.67</v>
      </c>
      <c r="D1477">
        <v>3</v>
      </c>
      <c r="E1477">
        <v>18</v>
      </c>
      <c r="F1477">
        <v>2</v>
      </c>
      <c r="G1477">
        <v>0</v>
      </c>
      <c r="H1477">
        <v>8</v>
      </c>
      <c r="I1477">
        <v>0</v>
      </c>
    </row>
    <row r="1478" spans="1:9" x14ac:dyDescent="0.25">
      <c r="A1478" s="18">
        <v>43117</v>
      </c>
      <c r="B1478">
        <v>6.67</v>
      </c>
      <c r="C1478">
        <v>2.85</v>
      </c>
      <c r="D1478">
        <v>2</v>
      </c>
      <c r="E1478">
        <v>30.2</v>
      </c>
      <c r="F1478">
        <v>10</v>
      </c>
      <c r="G1478">
        <v>2</v>
      </c>
      <c r="H1478">
        <v>41</v>
      </c>
      <c r="I1478">
        <v>2</v>
      </c>
    </row>
    <row r="1479" spans="1:9" x14ac:dyDescent="0.25">
      <c r="A1479" s="18">
        <v>43118</v>
      </c>
      <c r="B1479">
        <v>4.33</v>
      </c>
      <c r="C1479">
        <v>3.726</v>
      </c>
      <c r="D1479">
        <v>4</v>
      </c>
      <c r="E1479">
        <v>58.4</v>
      </c>
      <c r="F1479">
        <v>9</v>
      </c>
      <c r="G1479">
        <v>0</v>
      </c>
      <c r="H1479">
        <v>2</v>
      </c>
      <c r="I1479">
        <v>1</v>
      </c>
    </row>
    <row r="1480" spans="1:9" x14ac:dyDescent="0.25">
      <c r="A1480" s="18">
        <v>43119</v>
      </c>
      <c r="B1480">
        <v>6.33</v>
      </c>
      <c r="C1480">
        <v>2.528</v>
      </c>
      <c r="D1480">
        <v>3</v>
      </c>
      <c r="E1480">
        <v>23.4</v>
      </c>
      <c r="F1480">
        <v>12</v>
      </c>
      <c r="G1480">
        <v>0</v>
      </c>
      <c r="H1480">
        <v>3</v>
      </c>
      <c r="I1480">
        <v>1</v>
      </c>
    </row>
    <row r="1481" spans="1:9" x14ac:dyDescent="0.25">
      <c r="A1481" s="18">
        <v>43120</v>
      </c>
      <c r="B1481">
        <v>2.66</v>
      </c>
      <c r="C1481">
        <v>2.3199999999999998</v>
      </c>
      <c r="D1481">
        <v>2</v>
      </c>
      <c r="E1481">
        <v>38</v>
      </c>
      <c r="F1481">
        <v>2</v>
      </c>
      <c r="G1481">
        <v>0</v>
      </c>
      <c r="H1481">
        <v>5</v>
      </c>
      <c r="I1481">
        <v>0</v>
      </c>
    </row>
    <row r="1482" spans="1:9" x14ac:dyDescent="0.25">
      <c r="A1482" s="18">
        <v>43121</v>
      </c>
      <c r="B1482">
        <v>3.33</v>
      </c>
      <c r="C1482">
        <v>3.53</v>
      </c>
      <c r="D1482">
        <v>3.4</v>
      </c>
      <c r="E1482">
        <v>32.799999999999997</v>
      </c>
      <c r="F1482">
        <v>6</v>
      </c>
      <c r="G1482">
        <v>0</v>
      </c>
      <c r="H1482">
        <v>1</v>
      </c>
      <c r="I1482">
        <v>3.5</v>
      </c>
    </row>
    <row r="1483" spans="1:9" x14ac:dyDescent="0.25">
      <c r="A1483" s="18">
        <v>43122</v>
      </c>
      <c r="B1483">
        <v>6</v>
      </c>
      <c r="C1483">
        <v>3.3959999999999999</v>
      </c>
      <c r="D1483">
        <v>6</v>
      </c>
      <c r="E1483">
        <v>29</v>
      </c>
      <c r="F1483">
        <v>5</v>
      </c>
      <c r="G1483">
        <v>0</v>
      </c>
      <c r="H1483">
        <v>6</v>
      </c>
      <c r="I1483">
        <v>1</v>
      </c>
    </row>
    <row r="1484" spans="1:9" x14ac:dyDescent="0.25">
      <c r="A1484" s="18">
        <v>43123</v>
      </c>
      <c r="B1484">
        <v>1</v>
      </c>
      <c r="C1484">
        <v>1.0660000000000001</v>
      </c>
      <c r="D1484">
        <v>4.5999999999999996</v>
      </c>
      <c r="E1484">
        <v>38.6</v>
      </c>
      <c r="F1484">
        <v>4</v>
      </c>
      <c r="G1484">
        <v>0</v>
      </c>
      <c r="H1484">
        <v>5</v>
      </c>
      <c r="I1484">
        <v>1</v>
      </c>
    </row>
    <row r="1485" spans="1:9" x14ac:dyDescent="0.25">
      <c r="A1485" s="18">
        <v>43124</v>
      </c>
      <c r="B1485">
        <v>7.33</v>
      </c>
      <c r="C1485">
        <v>6.67</v>
      </c>
      <c r="D1485">
        <v>4</v>
      </c>
      <c r="E1485">
        <v>32</v>
      </c>
      <c r="F1485">
        <v>13</v>
      </c>
      <c r="G1485">
        <v>0</v>
      </c>
      <c r="H1485">
        <v>4</v>
      </c>
      <c r="I1485">
        <v>1</v>
      </c>
    </row>
    <row r="1486" spans="1:9" x14ac:dyDescent="0.25">
      <c r="A1486" s="18">
        <v>43125</v>
      </c>
      <c r="B1486">
        <v>3.66</v>
      </c>
      <c r="C1486">
        <v>5.1319999999999997</v>
      </c>
      <c r="D1486">
        <v>4.2</v>
      </c>
      <c r="E1486">
        <v>36.799999999999997</v>
      </c>
      <c r="F1486">
        <v>15</v>
      </c>
      <c r="G1486">
        <v>0</v>
      </c>
      <c r="H1486">
        <v>7</v>
      </c>
      <c r="I1486">
        <v>3</v>
      </c>
    </row>
    <row r="1487" spans="1:9" x14ac:dyDescent="0.25">
      <c r="A1487" s="18">
        <v>43126</v>
      </c>
      <c r="B1487">
        <v>3</v>
      </c>
      <c r="C1487">
        <v>3.0230000000000001</v>
      </c>
      <c r="D1487">
        <v>0.4</v>
      </c>
      <c r="E1487">
        <v>62.2</v>
      </c>
      <c r="F1487">
        <v>9</v>
      </c>
      <c r="G1487">
        <v>0</v>
      </c>
      <c r="H1487">
        <v>12</v>
      </c>
      <c r="I1487">
        <v>1</v>
      </c>
    </row>
    <row r="1488" spans="1:9" x14ac:dyDescent="0.25">
      <c r="A1488" s="18">
        <v>43127</v>
      </c>
      <c r="B1488">
        <v>3.34</v>
      </c>
      <c r="C1488">
        <v>7.33</v>
      </c>
      <c r="D1488">
        <v>3</v>
      </c>
      <c r="E1488">
        <v>52.9</v>
      </c>
      <c r="F1488">
        <v>7</v>
      </c>
      <c r="G1488">
        <v>0</v>
      </c>
      <c r="H1488">
        <v>3</v>
      </c>
      <c r="I1488">
        <v>4</v>
      </c>
    </row>
    <row r="1489" spans="1:9" x14ac:dyDescent="0.25">
      <c r="A1489" s="18">
        <v>43128</v>
      </c>
      <c r="B1489">
        <v>1.5</v>
      </c>
      <c r="C1489">
        <v>2.35</v>
      </c>
      <c r="D1489">
        <v>5.65</v>
      </c>
      <c r="E1489">
        <v>55</v>
      </c>
      <c r="F1489">
        <v>11</v>
      </c>
      <c r="G1489">
        <v>0</v>
      </c>
      <c r="H1489">
        <v>10</v>
      </c>
      <c r="I1489">
        <v>2</v>
      </c>
    </row>
    <row r="1490" spans="1:9" x14ac:dyDescent="0.25">
      <c r="A1490" s="18">
        <v>43129</v>
      </c>
      <c r="B1490">
        <v>2.33</v>
      </c>
      <c r="C1490">
        <v>4.3630000000000004</v>
      </c>
      <c r="D1490">
        <v>4.25</v>
      </c>
      <c r="E1490">
        <v>47.9</v>
      </c>
      <c r="F1490">
        <v>10</v>
      </c>
      <c r="G1490">
        <v>3</v>
      </c>
      <c r="H1490">
        <v>4</v>
      </c>
      <c r="I1490">
        <v>1</v>
      </c>
    </row>
    <row r="1491" spans="1:9" x14ac:dyDescent="0.25">
      <c r="A1491" s="18">
        <v>43130</v>
      </c>
      <c r="B1491">
        <v>4.33</v>
      </c>
      <c r="C1491">
        <v>3.76</v>
      </c>
      <c r="D1491">
        <v>3</v>
      </c>
      <c r="E1491">
        <v>37</v>
      </c>
      <c r="F1491">
        <v>11</v>
      </c>
      <c r="G1491">
        <v>0</v>
      </c>
      <c r="H1491">
        <v>4</v>
      </c>
      <c r="I1491">
        <v>3</v>
      </c>
    </row>
    <row r="1492" spans="1:9" x14ac:dyDescent="0.25">
      <c r="A1492" s="18">
        <v>43131</v>
      </c>
      <c r="B1492">
        <v>0.33</v>
      </c>
      <c r="C1492">
        <v>5.0759999999999996</v>
      </c>
      <c r="D1492">
        <v>4</v>
      </c>
      <c r="E1492">
        <v>30.4</v>
      </c>
      <c r="F1492">
        <v>12</v>
      </c>
      <c r="G1492">
        <v>0</v>
      </c>
      <c r="H1492">
        <v>6</v>
      </c>
      <c r="I1492">
        <v>1</v>
      </c>
    </row>
    <row r="1493" spans="1:9" x14ac:dyDescent="0.25">
      <c r="A1493" s="18">
        <v>43132</v>
      </c>
      <c r="B1493">
        <v>5.34</v>
      </c>
      <c r="C1493">
        <v>4.33</v>
      </c>
      <c r="D1493">
        <v>6</v>
      </c>
      <c r="E1493">
        <v>30.5</v>
      </c>
      <c r="F1493">
        <v>7</v>
      </c>
      <c r="G1493">
        <v>0</v>
      </c>
      <c r="H1493">
        <v>6</v>
      </c>
      <c r="I1493">
        <v>3</v>
      </c>
    </row>
    <row r="1494" spans="1:9" x14ac:dyDescent="0.25">
      <c r="A1494" s="18">
        <v>43133</v>
      </c>
      <c r="B1494">
        <v>2.33</v>
      </c>
      <c r="C1494">
        <v>4.99</v>
      </c>
      <c r="D1494">
        <v>4</v>
      </c>
      <c r="E1494">
        <v>54.6</v>
      </c>
      <c r="F1494">
        <v>6</v>
      </c>
      <c r="G1494">
        <v>0</v>
      </c>
      <c r="H1494">
        <v>6</v>
      </c>
      <c r="I1494">
        <v>4.4000000000000004</v>
      </c>
    </row>
    <row r="1495" spans="1:9" x14ac:dyDescent="0.25">
      <c r="A1495" s="18">
        <v>43134</v>
      </c>
      <c r="B1495">
        <v>4.33</v>
      </c>
      <c r="C1495">
        <v>7.13</v>
      </c>
      <c r="D1495">
        <v>3.3</v>
      </c>
      <c r="E1495">
        <v>67.099999999999994</v>
      </c>
      <c r="F1495">
        <v>12</v>
      </c>
      <c r="G1495">
        <v>0</v>
      </c>
      <c r="H1495">
        <v>5</v>
      </c>
      <c r="I1495">
        <v>2</v>
      </c>
    </row>
    <row r="1496" spans="1:9" x14ac:dyDescent="0.25">
      <c r="A1496" s="18">
        <v>43135</v>
      </c>
      <c r="B1496">
        <v>7.99</v>
      </c>
      <c r="C1496">
        <v>9.0660000000000007</v>
      </c>
      <c r="D1496">
        <v>2</v>
      </c>
      <c r="E1496">
        <v>50.6</v>
      </c>
      <c r="F1496">
        <v>6</v>
      </c>
      <c r="G1496">
        <v>0</v>
      </c>
      <c r="H1496">
        <v>3</v>
      </c>
      <c r="I1496">
        <v>3</v>
      </c>
    </row>
    <row r="1497" spans="1:9" x14ac:dyDescent="0.25">
      <c r="A1497" s="18">
        <v>43136</v>
      </c>
      <c r="B1497">
        <v>7.33</v>
      </c>
      <c r="C1497">
        <v>3.0659999999999998</v>
      </c>
      <c r="D1497">
        <v>3</v>
      </c>
      <c r="E1497">
        <v>53</v>
      </c>
      <c r="F1497">
        <v>18</v>
      </c>
      <c r="G1497">
        <v>0</v>
      </c>
      <c r="H1497">
        <v>6</v>
      </c>
      <c r="I1497">
        <v>0.66</v>
      </c>
    </row>
    <row r="1498" spans="1:9" x14ac:dyDescent="0.25">
      <c r="A1498" s="18">
        <v>43137</v>
      </c>
      <c r="B1498">
        <v>4.34</v>
      </c>
      <c r="C1498">
        <v>1.87</v>
      </c>
      <c r="D1498">
        <v>6.85</v>
      </c>
      <c r="E1498">
        <v>51.5</v>
      </c>
      <c r="F1498">
        <v>8</v>
      </c>
      <c r="G1498">
        <v>0</v>
      </c>
      <c r="H1498">
        <v>5</v>
      </c>
      <c r="I1498">
        <v>1</v>
      </c>
    </row>
    <row r="1499" spans="1:9" x14ac:dyDescent="0.25">
      <c r="A1499" s="18">
        <v>43138</v>
      </c>
      <c r="B1499">
        <v>4.84</v>
      </c>
      <c r="C1499">
        <v>8.1319999999999997</v>
      </c>
      <c r="D1499">
        <v>3.2</v>
      </c>
      <c r="E1499">
        <v>44.8</v>
      </c>
      <c r="F1499">
        <v>8</v>
      </c>
      <c r="G1499">
        <v>0</v>
      </c>
      <c r="H1499">
        <v>23</v>
      </c>
      <c r="I1499">
        <v>0</v>
      </c>
    </row>
    <row r="1500" spans="1:9" x14ac:dyDescent="0.25">
      <c r="A1500" s="18">
        <v>43139</v>
      </c>
      <c r="B1500">
        <v>6.33</v>
      </c>
      <c r="C1500">
        <v>1.34</v>
      </c>
      <c r="D1500">
        <v>3</v>
      </c>
      <c r="E1500">
        <v>47</v>
      </c>
      <c r="F1500">
        <v>7</v>
      </c>
      <c r="G1500">
        <v>0</v>
      </c>
      <c r="H1500">
        <v>1.25</v>
      </c>
      <c r="I1500">
        <v>0</v>
      </c>
    </row>
    <row r="1501" spans="1:9" x14ac:dyDescent="0.25">
      <c r="A1501" s="18">
        <v>43140</v>
      </c>
      <c r="B1501">
        <v>3</v>
      </c>
      <c r="C1501">
        <v>3.69</v>
      </c>
      <c r="D1501">
        <v>4.25</v>
      </c>
      <c r="E1501">
        <v>47</v>
      </c>
      <c r="F1501">
        <v>17</v>
      </c>
      <c r="G1501">
        <v>0</v>
      </c>
      <c r="H1501">
        <v>11</v>
      </c>
      <c r="I1501">
        <v>0</v>
      </c>
    </row>
    <row r="1502" spans="1:9" x14ac:dyDescent="0.25">
      <c r="A1502" s="18">
        <v>43141</v>
      </c>
      <c r="B1502">
        <v>10.01</v>
      </c>
      <c r="C1502">
        <v>5.2309999999999999</v>
      </c>
      <c r="D1502">
        <v>3.5</v>
      </c>
      <c r="E1502">
        <v>60.4</v>
      </c>
      <c r="F1502">
        <v>6</v>
      </c>
      <c r="G1502">
        <v>0</v>
      </c>
      <c r="H1502">
        <v>15</v>
      </c>
      <c r="I1502">
        <v>3</v>
      </c>
    </row>
    <row r="1503" spans="1:9" x14ac:dyDescent="0.25">
      <c r="A1503" s="18">
        <v>43142</v>
      </c>
      <c r="B1503">
        <v>6.33</v>
      </c>
      <c r="C1503">
        <v>5.3959999999999999</v>
      </c>
      <c r="D1503">
        <v>7.8</v>
      </c>
      <c r="E1503">
        <v>63.25</v>
      </c>
      <c r="F1503">
        <v>12</v>
      </c>
      <c r="G1503">
        <v>0</v>
      </c>
      <c r="H1503">
        <v>10</v>
      </c>
      <c r="I1503">
        <v>2</v>
      </c>
    </row>
    <row r="1504" spans="1:9" x14ac:dyDescent="0.25">
      <c r="A1504" s="18">
        <v>43143</v>
      </c>
      <c r="B1504">
        <v>8</v>
      </c>
      <c r="C1504">
        <v>4.7690000000000001</v>
      </c>
      <c r="D1504">
        <v>10</v>
      </c>
      <c r="E1504">
        <v>36.299999999999997</v>
      </c>
      <c r="F1504">
        <v>14</v>
      </c>
      <c r="G1504">
        <v>1</v>
      </c>
      <c r="H1504">
        <v>1</v>
      </c>
      <c r="I1504">
        <v>1</v>
      </c>
    </row>
    <row r="1505" spans="1:9" x14ac:dyDescent="0.25">
      <c r="A1505" s="18">
        <v>43144</v>
      </c>
      <c r="B1505">
        <v>6</v>
      </c>
      <c r="C1505">
        <v>8.0329999999999995</v>
      </c>
      <c r="D1505">
        <v>5</v>
      </c>
      <c r="E1505">
        <v>17.8</v>
      </c>
      <c r="F1505">
        <v>10</v>
      </c>
      <c r="G1505">
        <v>0</v>
      </c>
      <c r="H1505">
        <v>10</v>
      </c>
      <c r="I1505">
        <v>3</v>
      </c>
    </row>
    <row r="1506" spans="1:9" x14ac:dyDescent="0.25">
      <c r="A1506" s="18">
        <v>43145</v>
      </c>
      <c r="B1506">
        <v>1</v>
      </c>
      <c r="C1506">
        <v>6.33</v>
      </c>
      <c r="D1506">
        <v>2.1</v>
      </c>
      <c r="E1506">
        <v>50.3</v>
      </c>
      <c r="F1506">
        <v>15</v>
      </c>
      <c r="G1506">
        <v>0</v>
      </c>
      <c r="H1506">
        <v>14</v>
      </c>
      <c r="I1506">
        <v>0</v>
      </c>
    </row>
    <row r="1507" spans="1:9" x14ac:dyDescent="0.25">
      <c r="A1507" s="18">
        <v>43146</v>
      </c>
      <c r="B1507">
        <v>1.5</v>
      </c>
      <c r="C1507">
        <v>6.9450000000000003</v>
      </c>
      <c r="D1507">
        <v>0.85</v>
      </c>
      <c r="E1507">
        <v>74.599999999999994</v>
      </c>
      <c r="F1507">
        <v>6</v>
      </c>
      <c r="G1507">
        <v>0</v>
      </c>
      <c r="H1507">
        <v>10</v>
      </c>
      <c r="I1507">
        <v>0</v>
      </c>
    </row>
    <row r="1508" spans="1:9" x14ac:dyDescent="0.25">
      <c r="A1508" s="18">
        <v>43147</v>
      </c>
      <c r="B1508">
        <v>7.68</v>
      </c>
      <c r="C1508">
        <v>7.1749999999999998</v>
      </c>
      <c r="D1508">
        <v>1.2</v>
      </c>
      <c r="E1508">
        <v>65.162000000000006</v>
      </c>
      <c r="F1508">
        <v>10</v>
      </c>
      <c r="G1508">
        <v>0</v>
      </c>
      <c r="H1508">
        <v>0</v>
      </c>
      <c r="I1508">
        <v>1</v>
      </c>
    </row>
    <row r="1509" spans="1:9" x14ac:dyDescent="0.25">
      <c r="A1509" s="18">
        <v>43148</v>
      </c>
      <c r="B1509">
        <v>1.33</v>
      </c>
      <c r="C1509">
        <v>3.64</v>
      </c>
      <c r="D1509">
        <v>2</v>
      </c>
      <c r="E1509">
        <v>50.4</v>
      </c>
      <c r="F1509">
        <v>5</v>
      </c>
      <c r="G1509">
        <v>0</v>
      </c>
      <c r="H1509">
        <v>9</v>
      </c>
      <c r="I1509">
        <v>0</v>
      </c>
    </row>
    <row r="1510" spans="1:9" x14ac:dyDescent="0.25">
      <c r="A1510" s="18">
        <v>43149</v>
      </c>
      <c r="B1510">
        <v>6</v>
      </c>
      <c r="C1510">
        <v>6.726</v>
      </c>
      <c r="D1510">
        <v>7.55</v>
      </c>
      <c r="E1510">
        <v>44</v>
      </c>
      <c r="F1510">
        <v>2</v>
      </c>
      <c r="G1510">
        <v>0</v>
      </c>
      <c r="H1510">
        <v>4</v>
      </c>
      <c r="I1510">
        <v>1</v>
      </c>
    </row>
    <row r="1511" spans="1:9" x14ac:dyDescent="0.25">
      <c r="A1511" s="18">
        <v>43150</v>
      </c>
      <c r="B1511">
        <v>1</v>
      </c>
      <c r="C1511">
        <v>3.34</v>
      </c>
      <c r="D1511">
        <v>1.7</v>
      </c>
      <c r="E1511">
        <v>27</v>
      </c>
      <c r="F1511">
        <v>6</v>
      </c>
      <c r="G1511">
        <v>0</v>
      </c>
      <c r="H1511">
        <v>12</v>
      </c>
      <c r="I1511">
        <v>2</v>
      </c>
    </row>
    <row r="1512" spans="1:9" x14ac:dyDescent="0.25">
      <c r="A1512" s="18">
        <v>43151</v>
      </c>
      <c r="B1512">
        <v>4.18</v>
      </c>
      <c r="C1512">
        <v>2.286</v>
      </c>
      <c r="D1512">
        <v>4.2</v>
      </c>
      <c r="E1512">
        <v>30.2</v>
      </c>
      <c r="F1512">
        <v>6</v>
      </c>
      <c r="G1512">
        <v>0</v>
      </c>
      <c r="H1512">
        <v>2</v>
      </c>
      <c r="I1512">
        <v>3</v>
      </c>
    </row>
    <row r="1513" spans="1:9" x14ac:dyDescent="0.25">
      <c r="A1513" s="18">
        <v>43152</v>
      </c>
      <c r="B1513">
        <v>1.34</v>
      </c>
      <c r="C1513">
        <v>7.01</v>
      </c>
      <c r="D1513">
        <v>9.5</v>
      </c>
      <c r="E1513">
        <v>27.4</v>
      </c>
      <c r="F1513">
        <v>5</v>
      </c>
      <c r="G1513">
        <v>0</v>
      </c>
      <c r="H1513">
        <v>6</v>
      </c>
      <c r="I1513">
        <v>1</v>
      </c>
    </row>
    <row r="1514" spans="1:9" x14ac:dyDescent="0.25">
      <c r="A1514" s="18">
        <v>43153</v>
      </c>
      <c r="B1514">
        <v>5</v>
      </c>
      <c r="C1514">
        <v>6.33</v>
      </c>
      <c r="D1514">
        <v>3.15</v>
      </c>
      <c r="E1514">
        <v>30</v>
      </c>
      <c r="F1514">
        <v>6</v>
      </c>
      <c r="G1514">
        <v>0</v>
      </c>
      <c r="H1514">
        <v>20</v>
      </c>
      <c r="I1514">
        <v>0</v>
      </c>
    </row>
    <row r="1515" spans="1:9" x14ac:dyDescent="0.25">
      <c r="A1515" s="18">
        <v>43154</v>
      </c>
      <c r="B1515">
        <v>5.83</v>
      </c>
      <c r="C1515">
        <v>2.9790000000000001</v>
      </c>
      <c r="D1515">
        <v>1</v>
      </c>
      <c r="E1515">
        <v>34.200000000000003</v>
      </c>
      <c r="F1515">
        <v>6</v>
      </c>
      <c r="G1515">
        <v>0</v>
      </c>
      <c r="H1515">
        <v>12</v>
      </c>
      <c r="I1515">
        <v>0</v>
      </c>
    </row>
    <row r="1516" spans="1:9" x14ac:dyDescent="0.25">
      <c r="A1516" s="18">
        <v>43155</v>
      </c>
      <c r="B1516">
        <v>8</v>
      </c>
      <c r="C1516">
        <v>5.68</v>
      </c>
      <c r="D1516">
        <v>7</v>
      </c>
      <c r="E1516">
        <v>43.5</v>
      </c>
      <c r="F1516">
        <v>10</v>
      </c>
      <c r="G1516">
        <v>0</v>
      </c>
      <c r="H1516">
        <v>8</v>
      </c>
      <c r="I1516">
        <v>3</v>
      </c>
    </row>
    <row r="1517" spans="1:9" x14ac:dyDescent="0.25">
      <c r="A1517" s="18">
        <v>43156</v>
      </c>
      <c r="B1517">
        <v>4</v>
      </c>
      <c r="C1517">
        <v>1.68</v>
      </c>
      <c r="D1517">
        <v>2</v>
      </c>
      <c r="E1517">
        <v>36.799999999999997</v>
      </c>
      <c r="F1517">
        <v>10</v>
      </c>
      <c r="G1517">
        <v>0</v>
      </c>
      <c r="H1517">
        <v>10</v>
      </c>
      <c r="I1517">
        <v>2</v>
      </c>
    </row>
    <row r="1518" spans="1:9" x14ac:dyDescent="0.25">
      <c r="A1518" s="18">
        <v>43157</v>
      </c>
      <c r="B1518">
        <v>1</v>
      </c>
      <c r="C1518">
        <v>0.66</v>
      </c>
      <c r="D1518">
        <v>2</v>
      </c>
      <c r="E1518">
        <v>46.6</v>
      </c>
      <c r="F1518">
        <v>9</v>
      </c>
      <c r="G1518">
        <v>0</v>
      </c>
      <c r="H1518">
        <v>7</v>
      </c>
      <c r="I1518">
        <v>1</v>
      </c>
    </row>
    <row r="1519" spans="1:9" x14ac:dyDescent="0.25">
      <c r="A1519" s="18">
        <v>43158</v>
      </c>
      <c r="B1519">
        <v>3.33</v>
      </c>
      <c r="C1519">
        <v>2.65</v>
      </c>
      <c r="D1519">
        <v>3.4</v>
      </c>
      <c r="E1519">
        <v>26.7</v>
      </c>
      <c r="F1519">
        <v>20</v>
      </c>
      <c r="G1519">
        <v>9</v>
      </c>
      <c r="H1519">
        <v>8</v>
      </c>
      <c r="I1519">
        <v>1</v>
      </c>
    </row>
    <row r="1520" spans="1:9" x14ac:dyDescent="0.25">
      <c r="A1520" s="18">
        <v>43159</v>
      </c>
      <c r="B1520">
        <v>1</v>
      </c>
      <c r="C1520">
        <v>2.33</v>
      </c>
      <c r="D1520">
        <v>5.0999999999999996</v>
      </c>
      <c r="E1520">
        <v>44.661999999999999</v>
      </c>
      <c r="F1520">
        <v>21</v>
      </c>
      <c r="G1520">
        <v>2</v>
      </c>
      <c r="H1520">
        <v>0</v>
      </c>
      <c r="I1520">
        <v>1</v>
      </c>
    </row>
    <row r="1521" spans="1:9" x14ac:dyDescent="0.25">
      <c r="A1521" s="18">
        <v>43160</v>
      </c>
      <c r="B1521">
        <v>1</v>
      </c>
      <c r="C1521">
        <v>6.0330000000000004</v>
      </c>
      <c r="D1521">
        <v>1.05</v>
      </c>
      <c r="E1521">
        <v>26.4</v>
      </c>
      <c r="F1521">
        <v>26</v>
      </c>
      <c r="G1521">
        <v>1</v>
      </c>
      <c r="H1521">
        <v>12</v>
      </c>
      <c r="I1521">
        <v>1</v>
      </c>
    </row>
    <row r="1522" spans="1:9" x14ac:dyDescent="0.25">
      <c r="A1522" s="18">
        <v>43161</v>
      </c>
      <c r="B1522">
        <v>4</v>
      </c>
      <c r="C1522">
        <v>3</v>
      </c>
      <c r="D1522">
        <v>9.5</v>
      </c>
      <c r="E1522">
        <v>38.4</v>
      </c>
      <c r="F1522">
        <v>24</v>
      </c>
      <c r="G1522">
        <v>3</v>
      </c>
      <c r="H1522">
        <v>17</v>
      </c>
      <c r="I1522">
        <v>5.5</v>
      </c>
    </row>
    <row r="1523" spans="1:9" x14ac:dyDescent="0.25">
      <c r="A1523" s="18">
        <v>43162</v>
      </c>
      <c r="B1523">
        <v>8</v>
      </c>
      <c r="C1523">
        <v>2.363</v>
      </c>
      <c r="D1523">
        <v>8.15</v>
      </c>
      <c r="E1523">
        <v>40.186999999999998</v>
      </c>
      <c r="F1523">
        <v>12</v>
      </c>
      <c r="G1523">
        <v>1</v>
      </c>
      <c r="H1523">
        <v>10</v>
      </c>
      <c r="I1523">
        <v>4</v>
      </c>
    </row>
    <row r="1524" spans="1:9" x14ac:dyDescent="0.25">
      <c r="A1524" s="18">
        <v>43163</v>
      </c>
      <c r="B1524">
        <v>1</v>
      </c>
      <c r="C1524">
        <v>3.7360000000000002</v>
      </c>
      <c r="D1524">
        <v>4</v>
      </c>
      <c r="E1524">
        <v>33.6</v>
      </c>
      <c r="F1524">
        <v>3</v>
      </c>
      <c r="G1524">
        <v>0</v>
      </c>
      <c r="H1524">
        <v>14</v>
      </c>
      <c r="I1524">
        <v>1</v>
      </c>
    </row>
    <row r="1525" spans="1:9" x14ac:dyDescent="0.25">
      <c r="A1525" s="18">
        <v>43164</v>
      </c>
      <c r="B1525">
        <v>4.33</v>
      </c>
      <c r="C1525">
        <v>5.33</v>
      </c>
      <c r="D1525">
        <v>6.1</v>
      </c>
      <c r="E1525">
        <v>25</v>
      </c>
      <c r="F1525">
        <v>6</v>
      </c>
      <c r="G1525">
        <v>0</v>
      </c>
      <c r="H1525">
        <v>17</v>
      </c>
      <c r="I1525">
        <v>1</v>
      </c>
    </row>
    <row r="1526" spans="1:9" x14ac:dyDescent="0.25">
      <c r="A1526" s="18">
        <v>43165</v>
      </c>
      <c r="B1526">
        <v>9.5</v>
      </c>
      <c r="C1526">
        <v>6.33</v>
      </c>
      <c r="D1526">
        <v>5.85</v>
      </c>
      <c r="E1526">
        <v>22.2</v>
      </c>
      <c r="F1526">
        <v>22</v>
      </c>
      <c r="G1526">
        <v>8</v>
      </c>
      <c r="H1526">
        <v>2</v>
      </c>
      <c r="I1526">
        <v>1</v>
      </c>
    </row>
    <row r="1527" spans="1:9" x14ac:dyDescent="0.25">
      <c r="A1527" s="18">
        <v>43166</v>
      </c>
      <c r="B1527">
        <v>4.5</v>
      </c>
      <c r="C1527">
        <v>1.67</v>
      </c>
      <c r="D1527">
        <v>4</v>
      </c>
      <c r="E1527">
        <v>20.2</v>
      </c>
      <c r="F1527">
        <v>31</v>
      </c>
      <c r="G1527">
        <v>5</v>
      </c>
      <c r="H1527">
        <v>11</v>
      </c>
      <c r="I1527">
        <v>1.4</v>
      </c>
    </row>
    <row r="1528" spans="1:9" x14ac:dyDescent="0.25">
      <c r="A1528" s="18">
        <v>43167</v>
      </c>
      <c r="B1528">
        <v>1.33</v>
      </c>
      <c r="C1528">
        <v>2.7690000000000001</v>
      </c>
      <c r="D1528">
        <v>4</v>
      </c>
      <c r="E1528">
        <v>25.8</v>
      </c>
      <c r="F1528">
        <v>10</v>
      </c>
      <c r="G1528">
        <v>0</v>
      </c>
      <c r="H1528">
        <v>0</v>
      </c>
      <c r="I1528">
        <v>4</v>
      </c>
    </row>
    <row r="1529" spans="1:9" x14ac:dyDescent="0.25">
      <c r="A1529" s="18">
        <v>43168</v>
      </c>
      <c r="B1529">
        <v>6.33</v>
      </c>
      <c r="C1529">
        <v>2.1800000000000002</v>
      </c>
      <c r="D1529">
        <v>4.2</v>
      </c>
      <c r="E1529">
        <v>41</v>
      </c>
      <c r="F1529">
        <v>11</v>
      </c>
      <c r="G1529">
        <v>1</v>
      </c>
      <c r="H1529">
        <v>10</v>
      </c>
      <c r="I1529">
        <v>0</v>
      </c>
    </row>
    <row r="1530" spans="1:9" x14ac:dyDescent="0.25">
      <c r="A1530" s="18">
        <v>43169</v>
      </c>
      <c r="B1530">
        <v>6</v>
      </c>
      <c r="C1530">
        <v>4.109</v>
      </c>
      <c r="D1530">
        <v>4</v>
      </c>
      <c r="E1530">
        <v>21.7</v>
      </c>
      <c r="F1530">
        <v>11</v>
      </c>
      <c r="G1530">
        <v>3</v>
      </c>
      <c r="H1530">
        <v>17</v>
      </c>
      <c r="I1530">
        <v>6</v>
      </c>
    </row>
    <row r="1531" spans="1:9" x14ac:dyDescent="0.25">
      <c r="A1531" s="18">
        <v>43170</v>
      </c>
      <c r="B1531">
        <v>4.66</v>
      </c>
      <c r="C1531">
        <v>7.54</v>
      </c>
      <c r="D1531">
        <v>5.6</v>
      </c>
      <c r="E1531">
        <v>68</v>
      </c>
      <c r="F1531">
        <v>0</v>
      </c>
      <c r="G1531">
        <v>0</v>
      </c>
      <c r="H1531">
        <v>11</v>
      </c>
      <c r="I1531">
        <v>3</v>
      </c>
    </row>
    <row r="1532" spans="1:9" x14ac:dyDescent="0.25">
      <c r="A1532" s="18">
        <v>43171</v>
      </c>
      <c r="B1532">
        <v>9</v>
      </c>
      <c r="C1532">
        <v>4.3449999999999998</v>
      </c>
      <c r="D1532">
        <v>3</v>
      </c>
      <c r="E1532">
        <v>22.2</v>
      </c>
      <c r="F1532">
        <v>9</v>
      </c>
      <c r="G1532">
        <v>0</v>
      </c>
      <c r="H1532">
        <v>13</v>
      </c>
      <c r="I1532">
        <v>8</v>
      </c>
    </row>
    <row r="1533" spans="1:9" x14ac:dyDescent="0.25">
      <c r="A1533" s="18">
        <v>43172</v>
      </c>
      <c r="B1533">
        <v>2</v>
      </c>
      <c r="C1533">
        <v>5.0659999999999998</v>
      </c>
      <c r="D1533">
        <v>5.2</v>
      </c>
      <c r="E1533">
        <v>15.2</v>
      </c>
      <c r="F1533">
        <v>18</v>
      </c>
      <c r="G1533">
        <v>0</v>
      </c>
      <c r="H1533">
        <v>21</v>
      </c>
      <c r="I1533">
        <v>5</v>
      </c>
    </row>
    <row r="1534" spans="1:9" x14ac:dyDescent="0.25">
      <c r="A1534" s="18">
        <v>43173</v>
      </c>
      <c r="B1534">
        <v>2.34</v>
      </c>
      <c r="C1534">
        <v>2.34</v>
      </c>
      <c r="D1534">
        <v>0</v>
      </c>
      <c r="E1534">
        <v>31</v>
      </c>
      <c r="F1534">
        <v>14</v>
      </c>
      <c r="G1534">
        <v>2</v>
      </c>
      <c r="H1534">
        <v>8</v>
      </c>
      <c r="I1534">
        <v>4</v>
      </c>
    </row>
    <row r="1535" spans="1:9" x14ac:dyDescent="0.25">
      <c r="A1535" s="18">
        <v>43174</v>
      </c>
      <c r="B1535">
        <v>3.34</v>
      </c>
      <c r="C1535">
        <v>2.1320000000000001</v>
      </c>
      <c r="D1535">
        <v>3</v>
      </c>
      <c r="E1535">
        <v>23.9</v>
      </c>
      <c r="F1535">
        <v>10</v>
      </c>
      <c r="G1535">
        <v>0</v>
      </c>
      <c r="H1535">
        <v>10</v>
      </c>
      <c r="I1535">
        <v>0</v>
      </c>
    </row>
    <row r="1536" spans="1:9" x14ac:dyDescent="0.25">
      <c r="A1536" s="18">
        <v>43175</v>
      </c>
      <c r="B1536">
        <v>3.33</v>
      </c>
      <c r="C1536">
        <v>3.0659999999999998</v>
      </c>
      <c r="D1536">
        <v>1</v>
      </c>
      <c r="E1536">
        <v>29</v>
      </c>
      <c r="F1536">
        <v>7</v>
      </c>
      <c r="G1536">
        <v>0</v>
      </c>
      <c r="H1536">
        <v>2</v>
      </c>
      <c r="I1536">
        <v>1</v>
      </c>
    </row>
    <row r="1537" spans="1:9" x14ac:dyDescent="0.25">
      <c r="A1537" s="18">
        <v>43176</v>
      </c>
      <c r="B1537">
        <v>3.99</v>
      </c>
      <c r="C1537">
        <v>1.66</v>
      </c>
      <c r="D1537">
        <v>3.15</v>
      </c>
      <c r="E1537">
        <v>65</v>
      </c>
      <c r="F1537">
        <v>11</v>
      </c>
      <c r="G1537">
        <v>0</v>
      </c>
      <c r="H1537">
        <v>5</v>
      </c>
      <c r="I1537">
        <v>4</v>
      </c>
    </row>
    <row r="1538" spans="1:9" x14ac:dyDescent="0.25">
      <c r="A1538" s="18">
        <v>43177</v>
      </c>
      <c r="B1538">
        <v>7.33</v>
      </c>
      <c r="C1538">
        <v>2.9289999999999998</v>
      </c>
      <c r="D1538">
        <v>4.3</v>
      </c>
      <c r="E1538">
        <v>21.5</v>
      </c>
      <c r="F1538">
        <v>8</v>
      </c>
      <c r="G1538">
        <v>0</v>
      </c>
      <c r="H1538">
        <v>2</v>
      </c>
      <c r="I1538">
        <v>2</v>
      </c>
    </row>
    <row r="1539" spans="1:9" x14ac:dyDescent="0.25">
      <c r="A1539" s="18">
        <v>43178</v>
      </c>
      <c r="B1539">
        <v>4.34</v>
      </c>
      <c r="C1539">
        <v>1</v>
      </c>
      <c r="D1539">
        <v>0</v>
      </c>
      <c r="E1539">
        <v>19.600000000000001</v>
      </c>
      <c r="F1539">
        <v>11</v>
      </c>
      <c r="G1539">
        <v>2</v>
      </c>
      <c r="H1539">
        <v>18</v>
      </c>
      <c r="I1539">
        <v>1</v>
      </c>
    </row>
    <row r="1540" spans="1:9" x14ac:dyDescent="0.25">
      <c r="A1540" s="18">
        <v>43179</v>
      </c>
      <c r="B1540">
        <v>2.67</v>
      </c>
      <c r="C1540">
        <v>3.67</v>
      </c>
      <c r="D1540">
        <v>9</v>
      </c>
      <c r="E1540">
        <v>48.6</v>
      </c>
      <c r="F1540">
        <v>7</v>
      </c>
      <c r="G1540">
        <v>0</v>
      </c>
      <c r="H1540">
        <v>15</v>
      </c>
      <c r="I1540">
        <v>5</v>
      </c>
    </row>
    <row r="1541" spans="1:9" x14ac:dyDescent="0.25">
      <c r="A1541" s="18">
        <v>43180</v>
      </c>
      <c r="B1541">
        <v>2</v>
      </c>
      <c r="C1541">
        <v>2</v>
      </c>
      <c r="D1541">
        <v>2</v>
      </c>
      <c r="E1541">
        <v>27</v>
      </c>
      <c r="F1541">
        <v>4</v>
      </c>
      <c r="G1541">
        <v>0</v>
      </c>
      <c r="H1541">
        <v>9</v>
      </c>
      <c r="I1541">
        <v>0</v>
      </c>
    </row>
    <row r="1542" spans="1:9" x14ac:dyDescent="0.25">
      <c r="A1542" s="18">
        <v>43181</v>
      </c>
      <c r="B1542">
        <v>3</v>
      </c>
      <c r="C1542">
        <v>3.67</v>
      </c>
      <c r="D1542">
        <v>1.55</v>
      </c>
      <c r="E1542">
        <v>24.6</v>
      </c>
      <c r="F1542">
        <v>4</v>
      </c>
      <c r="G1542">
        <v>0</v>
      </c>
      <c r="H1542">
        <v>0</v>
      </c>
      <c r="I1542">
        <v>1</v>
      </c>
    </row>
    <row r="1543" spans="1:9" x14ac:dyDescent="0.25">
      <c r="A1543" s="18">
        <v>43182</v>
      </c>
      <c r="B1543">
        <v>5</v>
      </c>
      <c r="C1543">
        <v>5.3959999999999999</v>
      </c>
      <c r="D1543">
        <v>5.15</v>
      </c>
      <c r="E1543">
        <v>34</v>
      </c>
      <c r="F1543">
        <v>8</v>
      </c>
      <c r="G1543">
        <v>0</v>
      </c>
      <c r="H1543">
        <v>11</v>
      </c>
      <c r="I1543">
        <v>8.5</v>
      </c>
    </row>
    <row r="1544" spans="1:9" x14ac:dyDescent="0.25">
      <c r="A1544" s="18">
        <v>43183</v>
      </c>
      <c r="B1544">
        <v>7</v>
      </c>
      <c r="C1544">
        <v>2.34</v>
      </c>
      <c r="D1544">
        <v>5</v>
      </c>
      <c r="E1544">
        <v>40</v>
      </c>
      <c r="F1544">
        <v>7</v>
      </c>
      <c r="G1544">
        <v>1</v>
      </c>
      <c r="H1544">
        <v>2</v>
      </c>
      <c r="I1544">
        <v>0</v>
      </c>
    </row>
    <row r="1545" spans="1:9" x14ac:dyDescent="0.25">
      <c r="A1545" s="18">
        <v>43184</v>
      </c>
      <c r="B1545">
        <v>4</v>
      </c>
      <c r="C1545">
        <v>2.66</v>
      </c>
      <c r="D1545">
        <v>3.2</v>
      </c>
      <c r="E1545">
        <v>47.311999999999998</v>
      </c>
      <c r="F1545">
        <v>9</v>
      </c>
      <c r="G1545">
        <v>0</v>
      </c>
      <c r="H1545">
        <v>3</v>
      </c>
      <c r="I1545">
        <v>2</v>
      </c>
    </row>
    <row r="1546" spans="1:9" x14ac:dyDescent="0.25">
      <c r="A1546" s="18">
        <v>43185</v>
      </c>
      <c r="B1546">
        <v>5</v>
      </c>
      <c r="C1546">
        <v>9.66</v>
      </c>
      <c r="D1546">
        <v>0.2</v>
      </c>
      <c r="E1546">
        <v>27.6</v>
      </c>
      <c r="F1546">
        <v>15</v>
      </c>
      <c r="G1546">
        <v>4</v>
      </c>
      <c r="H1546">
        <v>5</v>
      </c>
      <c r="I1546">
        <v>3.3</v>
      </c>
    </row>
    <row r="1547" spans="1:9" x14ac:dyDescent="0.25">
      <c r="A1547" s="18">
        <v>43186</v>
      </c>
      <c r="B1547">
        <v>4.34</v>
      </c>
      <c r="C1547">
        <v>3.33</v>
      </c>
      <c r="D1547">
        <v>5.0999999999999996</v>
      </c>
      <c r="E1547">
        <v>28</v>
      </c>
      <c r="F1547">
        <v>14</v>
      </c>
      <c r="G1547">
        <v>1</v>
      </c>
      <c r="H1547">
        <v>5</v>
      </c>
      <c r="I1547">
        <v>2</v>
      </c>
    </row>
    <row r="1548" spans="1:9" x14ac:dyDescent="0.25">
      <c r="A1548" s="18">
        <v>43187</v>
      </c>
      <c r="B1548">
        <v>5.5</v>
      </c>
      <c r="C1548">
        <v>1.66</v>
      </c>
      <c r="D1548">
        <v>1</v>
      </c>
      <c r="E1548">
        <v>11.923999999999999</v>
      </c>
      <c r="F1548">
        <v>23</v>
      </c>
      <c r="G1548">
        <v>2</v>
      </c>
      <c r="H1548">
        <v>6</v>
      </c>
      <c r="I1548">
        <v>1.5</v>
      </c>
    </row>
    <row r="1549" spans="1:9" x14ac:dyDescent="0.25">
      <c r="A1549" s="18">
        <v>43188</v>
      </c>
      <c r="B1549">
        <v>7</v>
      </c>
      <c r="C1549">
        <v>2.33</v>
      </c>
      <c r="D1549">
        <v>3</v>
      </c>
      <c r="E1549">
        <v>28.2</v>
      </c>
      <c r="F1549">
        <v>5</v>
      </c>
      <c r="G1549">
        <v>0</v>
      </c>
      <c r="H1549">
        <v>7</v>
      </c>
      <c r="I1549">
        <v>3.3</v>
      </c>
    </row>
    <row r="1550" spans="1:9" x14ac:dyDescent="0.25">
      <c r="A1550" s="18">
        <v>43189</v>
      </c>
      <c r="B1550">
        <v>5.33</v>
      </c>
      <c r="C1550">
        <v>4.46</v>
      </c>
      <c r="D1550">
        <v>9</v>
      </c>
      <c r="E1550">
        <v>42</v>
      </c>
      <c r="F1550">
        <v>33</v>
      </c>
      <c r="G1550">
        <v>8</v>
      </c>
      <c r="H1550">
        <v>3</v>
      </c>
      <c r="I1550">
        <v>2</v>
      </c>
    </row>
    <row r="1551" spans="1:9" x14ac:dyDescent="0.25">
      <c r="A1551" s="18">
        <v>43190</v>
      </c>
      <c r="B1551">
        <v>9</v>
      </c>
      <c r="C1551">
        <v>2.99</v>
      </c>
      <c r="D1551">
        <v>2</v>
      </c>
      <c r="E1551">
        <v>50</v>
      </c>
      <c r="F1551">
        <v>8</v>
      </c>
      <c r="G1551">
        <v>0</v>
      </c>
      <c r="H1551">
        <v>3</v>
      </c>
      <c r="I1551">
        <v>4</v>
      </c>
    </row>
    <row r="1552" spans="1:9" x14ac:dyDescent="0.25">
      <c r="A1552" s="18">
        <v>43191</v>
      </c>
      <c r="B1552">
        <v>6.83</v>
      </c>
      <c r="C1552">
        <v>3.34</v>
      </c>
      <c r="D1552">
        <v>0</v>
      </c>
      <c r="E1552">
        <v>37</v>
      </c>
      <c r="F1552">
        <v>19</v>
      </c>
      <c r="G1552">
        <v>1</v>
      </c>
      <c r="H1552">
        <v>22</v>
      </c>
      <c r="I1552">
        <v>5</v>
      </c>
    </row>
    <row r="1553" spans="1:9" x14ac:dyDescent="0.25">
      <c r="A1553" s="18">
        <v>43192</v>
      </c>
      <c r="B1553">
        <v>5.66</v>
      </c>
      <c r="C1553">
        <v>4.3959999999999999</v>
      </c>
      <c r="D1553">
        <v>6.3</v>
      </c>
      <c r="E1553">
        <v>30</v>
      </c>
      <c r="F1553">
        <v>31</v>
      </c>
      <c r="G1553">
        <v>0</v>
      </c>
      <c r="H1553">
        <v>10</v>
      </c>
      <c r="I1553">
        <v>10</v>
      </c>
    </row>
    <row r="1554" spans="1:9" x14ac:dyDescent="0.25">
      <c r="A1554" s="18">
        <v>43193</v>
      </c>
      <c r="B1554">
        <v>1</v>
      </c>
      <c r="C1554">
        <v>2.5289999999999999</v>
      </c>
      <c r="D1554">
        <v>2</v>
      </c>
      <c r="E1554">
        <v>38</v>
      </c>
      <c r="F1554">
        <v>10</v>
      </c>
      <c r="G1554">
        <v>6</v>
      </c>
      <c r="H1554">
        <v>5</v>
      </c>
      <c r="I1554">
        <v>3.5</v>
      </c>
    </row>
    <row r="1555" spans="1:9" x14ac:dyDescent="0.25">
      <c r="A1555" s="18">
        <v>43194</v>
      </c>
      <c r="B1555">
        <v>6.01</v>
      </c>
      <c r="C1555">
        <v>5.2</v>
      </c>
      <c r="D1555">
        <v>3</v>
      </c>
      <c r="E1555">
        <v>29</v>
      </c>
      <c r="F1555">
        <v>9</v>
      </c>
      <c r="G1555">
        <v>0</v>
      </c>
      <c r="H1555">
        <v>1</v>
      </c>
      <c r="I1555">
        <v>8</v>
      </c>
    </row>
    <row r="1556" spans="1:9" x14ac:dyDescent="0.25">
      <c r="A1556" s="18">
        <v>43195</v>
      </c>
      <c r="B1556">
        <v>6.33</v>
      </c>
      <c r="C1556">
        <v>3.67</v>
      </c>
      <c r="D1556">
        <v>5.4</v>
      </c>
      <c r="E1556">
        <v>39</v>
      </c>
      <c r="F1556">
        <v>16</v>
      </c>
      <c r="G1556">
        <v>1</v>
      </c>
      <c r="H1556">
        <v>16</v>
      </c>
      <c r="I1556">
        <v>3</v>
      </c>
    </row>
    <row r="1557" spans="1:9" x14ac:dyDescent="0.25">
      <c r="A1557" s="18">
        <v>43196</v>
      </c>
      <c r="B1557">
        <v>3.67</v>
      </c>
      <c r="C1557">
        <v>3</v>
      </c>
      <c r="D1557">
        <v>4.2</v>
      </c>
      <c r="E1557">
        <v>33.524999999999999</v>
      </c>
      <c r="F1557">
        <v>13</v>
      </c>
      <c r="G1557">
        <v>0</v>
      </c>
      <c r="H1557">
        <v>23</v>
      </c>
      <c r="I1557">
        <v>5</v>
      </c>
    </row>
    <row r="1558" spans="1:9" x14ac:dyDescent="0.25">
      <c r="A1558" s="18">
        <v>43197</v>
      </c>
      <c r="B1558">
        <v>16.18</v>
      </c>
      <c r="C1558">
        <v>4.5060000000000002</v>
      </c>
      <c r="D1558">
        <v>2</v>
      </c>
      <c r="E1558">
        <v>40</v>
      </c>
      <c r="F1558">
        <v>4</v>
      </c>
      <c r="G1558">
        <v>0</v>
      </c>
      <c r="H1558">
        <v>5</v>
      </c>
      <c r="I1558">
        <v>7</v>
      </c>
    </row>
    <row r="1559" spans="1:9" x14ac:dyDescent="0.25">
      <c r="A1559" s="18">
        <v>43198</v>
      </c>
      <c r="B1559">
        <v>1</v>
      </c>
      <c r="C1559">
        <v>2.7589999999999999</v>
      </c>
      <c r="D1559">
        <v>1</v>
      </c>
      <c r="E1559">
        <v>18.2</v>
      </c>
      <c r="F1559">
        <v>8</v>
      </c>
      <c r="G1559">
        <v>1</v>
      </c>
      <c r="H1559">
        <v>0</v>
      </c>
      <c r="I1559">
        <v>4</v>
      </c>
    </row>
    <row r="1560" spans="1:9" x14ac:dyDescent="0.25">
      <c r="A1560" s="18">
        <v>43199</v>
      </c>
      <c r="B1560">
        <v>5</v>
      </c>
      <c r="C1560">
        <v>3</v>
      </c>
      <c r="D1560">
        <v>6</v>
      </c>
      <c r="E1560">
        <v>25</v>
      </c>
      <c r="F1560">
        <v>6</v>
      </c>
      <c r="G1560">
        <v>0</v>
      </c>
      <c r="H1560">
        <v>10</v>
      </c>
      <c r="I1560">
        <v>6</v>
      </c>
    </row>
    <row r="1561" spans="1:9" x14ac:dyDescent="0.25">
      <c r="A1561" s="18">
        <v>43200</v>
      </c>
      <c r="B1561">
        <v>2</v>
      </c>
      <c r="C1561">
        <v>3.0670000000000002</v>
      </c>
      <c r="D1561">
        <v>2</v>
      </c>
      <c r="E1561">
        <v>38.299999999999997</v>
      </c>
      <c r="F1561">
        <v>18</v>
      </c>
      <c r="G1561">
        <v>3</v>
      </c>
      <c r="H1561">
        <v>7</v>
      </c>
      <c r="I1561">
        <v>10</v>
      </c>
    </row>
    <row r="1562" spans="1:9" x14ac:dyDescent="0.25">
      <c r="A1562" s="18">
        <v>43201</v>
      </c>
      <c r="B1562">
        <v>6.67</v>
      </c>
      <c r="C1562">
        <v>3.01</v>
      </c>
      <c r="D1562">
        <v>2</v>
      </c>
      <c r="E1562">
        <v>28</v>
      </c>
      <c r="F1562">
        <v>12</v>
      </c>
      <c r="G1562">
        <v>0</v>
      </c>
      <c r="H1562">
        <v>3</v>
      </c>
      <c r="I1562">
        <v>11</v>
      </c>
    </row>
    <row r="1563" spans="1:9" x14ac:dyDescent="0.25">
      <c r="A1563" s="18">
        <v>43202</v>
      </c>
      <c r="B1563">
        <v>5</v>
      </c>
      <c r="C1563">
        <v>4.7590000000000003</v>
      </c>
      <c r="D1563">
        <v>3.5</v>
      </c>
      <c r="E1563">
        <v>17.399999999999999</v>
      </c>
      <c r="F1563">
        <v>9</v>
      </c>
      <c r="G1563">
        <v>0</v>
      </c>
      <c r="H1563">
        <v>6</v>
      </c>
      <c r="I1563">
        <v>4.5</v>
      </c>
    </row>
    <row r="1564" spans="1:9" x14ac:dyDescent="0.25">
      <c r="A1564" s="18">
        <v>43203</v>
      </c>
      <c r="B1564">
        <v>4.5</v>
      </c>
      <c r="C1564">
        <v>2.0329999999999999</v>
      </c>
      <c r="D1564">
        <v>5</v>
      </c>
      <c r="E1564">
        <v>23</v>
      </c>
      <c r="F1564">
        <v>12</v>
      </c>
      <c r="G1564">
        <v>0</v>
      </c>
      <c r="H1564">
        <v>23</v>
      </c>
      <c r="I1564">
        <v>4</v>
      </c>
    </row>
    <row r="1565" spans="1:9" x14ac:dyDescent="0.25">
      <c r="A1565" s="18">
        <v>43204</v>
      </c>
      <c r="B1565">
        <v>8</v>
      </c>
      <c r="C1565">
        <v>3.68</v>
      </c>
      <c r="D1565">
        <v>2</v>
      </c>
      <c r="E1565">
        <v>24</v>
      </c>
      <c r="F1565">
        <v>2</v>
      </c>
      <c r="G1565">
        <v>0</v>
      </c>
      <c r="H1565">
        <v>3</v>
      </c>
      <c r="I1565">
        <v>12</v>
      </c>
    </row>
    <row r="1566" spans="1:9" x14ac:dyDescent="0.25">
      <c r="A1566" s="18">
        <v>43205</v>
      </c>
      <c r="B1566">
        <v>7.66</v>
      </c>
      <c r="C1566">
        <v>2.7589999999999999</v>
      </c>
      <c r="D1566">
        <v>3</v>
      </c>
      <c r="E1566">
        <v>20</v>
      </c>
      <c r="F1566">
        <v>5</v>
      </c>
      <c r="G1566">
        <v>0</v>
      </c>
      <c r="H1566">
        <v>0</v>
      </c>
      <c r="I1566">
        <v>6</v>
      </c>
    </row>
    <row r="1567" spans="1:9" x14ac:dyDescent="0.25">
      <c r="A1567" s="18">
        <v>43206</v>
      </c>
      <c r="B1567">
        <v>2</v>
      </c>
      <c r="C1567">
        <v>6.02</v>
      </c>
      <c r="D1567">
        <v>0.25</v>
      </c>
      <c r="E1567">
        <v>40.5</v>
      </c>
      <c r="F1567">
        <v>9</v>
      </c>
      <c r="G1567">
        <v>0</v>
      </c>
      <c r="H1567">
        <v>4</v>
      </c>
      <c r="I1567">
        <v>3</v>
      </c>
    </row>
    <row r="1568" spans="1:9" x14ac:dyDescent="0.25">
      <c r="A1568" s="18">
        <v>43207</v>
      </c>
      <c r="B1568">
        <v>3.34</v>
      </c>
      <c r="C1568">
        <v>1.4059999999999999</v>
      </c>
      <c r="D1568">
        <v>0.15</v>
      </c>
      <c r="E1568">
        <v>16</v>
      </c>
      <c r="F1568">
        <v>10</v>
      </c>
      <c r="G1568">
        <v>0</v>
      </c>
      <c r="H1568">
        <v>6</v>
      </c>
      <c r="I1568">
        <v>6</v>
      </c>
    </row>
    <row r="1569" spans="1:9" x14ac:dyDescent="0.25">
      <c r="A1569" s="18">
        <v>43208</v>
      </c>
      <c r="B1569">
        <v>5</v>
      </c>
      <c r="C1569">
        <v>0.54</v>
      </c>
      <c r="D1569">
        <v>3.25</v>
      </c>
      <c r="E1569">
        <v>25.25</v>
      </c>
      <c r="F1569">
        <v>5</v>
      </c>
      <c r="G1569">
        <v>0</v>
      </c>
      <c r="H1569">
        <v>7</v>
      </c>
      <c r="I1569">
        <v>1</v>
      </c>
    </row>
    <row r="1570" spans="1:9" x14ac:dyDescent="0.25">
      <c r="A1570" s="18">
        <v>43209</v>
      </c>
      <c r="B1570">
        <v>5</v>
      </c>
      <c r="C1570">
        <v>5.67</v>
      </c>
      <c r="D1570">
        <v>1</v>
      </c>
      <c r="E1570">
        <v>31.375</v>
      </c>
      <c r="F1570">
        <v>3</v>
      </c>
      <c r="G1570">
        <v>0</v>
      </c>
      <c r="H1570">
        <v>1</v>
      </c>
      <c r="I1570">
        <v>7</v>
      </c>
    </row>
    <row r="1571" spans="1:9" x14ac:dyDescent="0.25">
      <c r="A1571" s="18">
        <v>43210</v>
      </c>
      <c r="B1571">
        <v>5</v>
      </c>
      <c r="C1571">
        <v>4.5060000000000002</v>
      </c>
      <c r="D1571">
        <v>0</v>
      </c>
      <c r="E1571">
        <v>15</v>
      </c>
      <c r="F1571">
        <v>10</v>
      </c>
      <c r="G1571">
        <v>0</v>
      </c>
      <c r="H1571">
        <v>6</v>
      </c>
      <c r="I1571">
        <v>9</v>
      </c>
    </row>
    <row r="1572" spans="1:9" x14ac:dyDescent="0.25">
      <c r="A1572" s="18">
        <v>43211</v>
      </c>
      <c r="B1572">
        <v>3.5</v>
      </c>
      <c r="C1572">
        <v>3.4390000000000001</v>
      </c>
      <c r="D1572">
        <v>2</v>
      </c>
      <c r="E1572">
        <v>40.4</v>
      </c>
      <c r="F1572">
        <v>7</v>
      </c>
      <c r="G1572">
        <v>0</v>
      </c>
      <c r="H1572">
        <v>4</v>
      </c>
      <c r="I1572">
        <v>6.2</v>
      </c>
    </row>
    <row r="1573" spans="1:9" x14ac:dyDescent="0.25">
      <c r="A1573" s="18">
        <v>43212</v>
      </c>
      <c r="B1573">
        <v>6</v>
      </c>
      <c r="C1573">
        <v>5.09</v>
      </c>
      <c r="D1573">
        <v>3.5</v>
      </c>
      <c r="E1573">
        <v>42.5</v>
      </c>
      <c r="F1573">
        <v>7</v>
      </c>
      <c r="G1573">
        <v>0</v>
      </c>
      <c r="H1573">
        <v>0</v>
      </c>
      <c r="I1573">
        <v>6.5</v>
      </c>
    </row>
    <row r="1574" spans="1:9" x14ac:dyDescent="0.25">
      <c r="A1574" s="18">
        <v>43213</v>
      </c>
      <c r="B1574">
        <v>7</v>
      </c>
      <c r="C1574">
        <v>0.69299999999999995</v>
      </c>
      <c r="D1574">
        <v>1</v>
      </c>
      <c r="E1574">
        <v>15.561999999999999</v>
      </c>
      <c r="F1574">
        <v>7</v>
      </c>
      <c r="G1574">
        <v>0</v>
      </c>
      <c r="H1574">
        <v>2</v>
      </c>
      <c r="I1574">
        <v>9</v>
      </c>
    </row>
    <row r="1575" spans="1:9" x14ac:dyDescent="0.25">
      <c r="A1575" s="18">
        <v>43214</v>
      </c>
      <c r="B1575">
        <v>6</v>
      </c>
      <c r="C1575">
        <v>4.4619999999999997</v>
      </c>
      <c r="D1575">
        <v>6</v>
      </c>
      <c r="E1575">
        <v>20</v>
      </c>
      <c r="F1575">
        <v>9</v>
      </c>
      <c r="G1575">
        <v>0</v>
      </c>
      <c r="H1575">
        <v>1</v>
      </c>
      <c r="I1575">
        <v>12</v>
      </c>
    </row>
    <row r="1576" spans="1:9" x14ac:dyDescent="0.25">
      <c r="A1576" s="18">
        <v>43215</v>
      </c>
      <c r="B1576">
        <v>9</v>
      </c>
      <c r="C1576">
        <v>7.66</v>
      </c>
      <c r="D1576">
        <v>5</v>
      </c>
      <c r="E1576">
        <v>18.100000000000001</v>
      </c>
      <c r="F1576">
        <v>8</v>
      </c>
      <c r="G1576">
        <v>2</v>
      </c>
      <c r="H1576">
        <v>30</v>
      </c>
      <c r="I1576">
        <v>9</v>
      </c>
    </row>
    <row r="1577" spans="1:9" x14ac:dyDescent="0.25">
      <c r="A1577" s="18">
        <v>43216</v>
      </c>
      <c r="B1577">
        <v>5.33</v>
      </c>
      <c r="C1577">
        <v>1.099</v>
      </c>
      <c r="D1577">
        <v>2</v>
      </c>
      <c r="E1577">
        <v>18</v>
      </c>
      <c r="F1577">
        <v>8</v>
      </c>
      <c r="G1577">
        <v>0</v>
      </c>
      <c r="H1577">
        <v>7</v>
      </c>
      <c r="I1577">
        <v>5</v>
      </c>
    </row>
    <row r="1578" spans="1:9" x14ac:dyDescent="0.25">
      <c r="A1578" s="18">
        <v>43217</v>
      </c>
      <c r="B1578">
        <v>6.68</v>
      </c>
      <c r="C1578">
        <v>3.5289999999999999</v>
      </c>
      <c r="D1578">
        <v>3</v>
      </c>
      <c r="E1578">
        <v>43</v>
      </c>
      <c r="F1578">
        <v>12</v>
      </c>
      <c r="G1578">
        <v>0</v>
      </c>
      <c r="H1578">
        <v>6</v>
      </c>
      <c r="I1578">
        <v>4</v>
      </c>
    </row>
    <row r="1579" spans="1:9" x14ac:dyDescent="0.25">
      <c r="A1579" s="18">
        <v>43218</v>
      </c>
      <c r="B1579">
        <v>9.33</v>
      </c>
      <c r="C1579">
        <v>2</v>
      </c>
      <c r="D1579">
        <v>2.0499999999999998</v>
      </c>
      <c r="E1579">
        <v>27.25</v>
      </c>
      <c r="F1579">
        <v>11</v>
      </c>
      <c r="G1579">
        <v>1</v>
      </c>
      <c r="H1579">
        <v>6</v>
      </c>
      <c r="I1579">
        <v>7</v>
      </c>
    </row>
    <row r="1580" spans="1:9" x14ac:dyDescent="0.25">
      <c r="A1580" s="18">
        <v>43219</v>
      </c>
      <c r="B1580">
        <v>7.33</v>
      </c>
      <c r="C1580">
        <v>6</v>
      </c>
      <c r="D1580">
        <v>6</v>
      </c>
      <c r="E1580">
        <v>14</v>
      </c>
      <c r="F1580">
        <v>5</v>
      </c>
      <c r="G1580">
        <v>0</v>
      </c>
      <c r="H1580">
        <v>14</v>
      </c>
      <c r="I1580">
        <v>10.4</v>
      </c>
    </row>
    <row r="1581" spans="1:9" x14ac:dyDescent="0.25">
      <c r="A1581" s="18">
        <v>43220</v>
      </c>
      <c r="B1581">
        <v>5</v>
      </c>
      <c r="C1581">
        <v>6.66</v>
      </c>
      <c r="D1581">
        <v>3</v>
      </c>
      <c r="E1581">
        <v>14.125</v>
      </c>
      <c r="F1581">
        <v>12</v>
      </c>
      <c r="G1581">
        <v>0</v>
      </c>
      <c r="H1581">
        <v>1</v>
      </c>
      <c r="I1581">
        <v>7</v>
      </c>
    </row>
    <row r="1582" spans="1:9" x14ac:dyDescent="0.25">
      <c r="A1582" s="18">
        <v>43221</v>
      </c>
      <c r="B1582">
        <v>2.34</v>
      </c>
      <c r="C1582">
        <v>0</v>
      </c>
      <c r="D1582">
        <v>1</v>
      </c>
      <c r="E1582">
        <v>6.2</v>
      </c>
      <c r="F1582">
        <v>0</v>
      </c>
      <c r="G1582">
        <v>0</v>
      </c>
      <c r="H1582">
        <v>1</v>
      </c>
      <c r="I1582">
        <v>8</v>
      </c>
    </row>
    <row r="1583" spans="1:9" x14ac:dyDescent="0.25">
      <c r="A1583" s="18">
        <v>43222</v>
      </c>
      <c r="B1583">
        <v>6</v>
      </c>
      <c r="C1583">
        <v>3.5259999999999998</v>
      </c>
      <c r="D1583">
        <v>2</v>
      </c>
      <c r="E1583">
        <v>38.200000000000003</v>
      </c>
      <c r="F1583">
        <v>7</v>
      </c>
      <c r="G1583">
        <v>0</v>
      </c>
      <c r="H1583">
        <v>3</v>
      </c>
      <c r="I1583">
        <v>9</v>
      </c>
    </row>
    <row r="1584" spans="1:9" x14ac:dyDescent="0.25">
      <c r="A1584" s="18">
        <v>43223</v>
      </c>
      <c r="B1584">
        <v>2.33</v>
      </c>
      <c r="C1584">
        <v>1.7789999999999999</v>
      </c>
      <c r="D1584">
        <v>2</v>
      </c>
      <c r="E1584">
        <v>27.262</v>
      </c>
      <c r="F1584">
        <v>10</v>
      </c>
      <c r="G1584">
        <v>0</v>
      </c>
      <c r="H1584">
        <v>16</v>
      </c>
      <c r="I1584">
        <v>10</v>
      </c>
    </row>
    <row r="1585" spans="1:9" x14ac:dyDescent="0.25">
      <c r="A1585" s="18">
        <v>43224</v>
      </c>
      <c r="B1585">
        <v>1</v>
      </c>
      <c r="C1585">
        <v>2.93</v>
      </c>
      <c r="D1585">
        <v>5</v>
      </c>
      <c r="E1585">
        <v>8.75</v>
      </c>
      <c r="F1585">
        <v>6</v>
      </c>
      <c r="G1585">
        <v>0</v>
      </c>
      <c r="H1585">
        <v>2</v>
      </c>
      <c r="I1585">
        <v>10.5</v>
      </c>
    </row>
    <row r="1586" spans="1:9" x14ac:dyDescent="0.25">
      <c r="A1586" s="18">
        <v>43225</v>
      </c>
      <c r="B1586">
        <v>9</v>
      </c>
      <c r="C1586">
        <v>3.34</v>
      </c>
      <c r="D1586">
        <v>5</v>
      </c>
      <c r="E1586">
        <v>24</v>
      </c>
      <c r="F1586">
        <v>9</v>
      </c>
      <c r="G1586">
        <v>0</v>
      </c>
      <c r="H1586">
        <v>0</v>
      </c>
      <c r="I1586">
        <v>7</v>
      </c>
    </row>
    <row r="1587" spans="1:9" x14ac:dyDescent="0.25">
      <c r="A1587" s="18">
        <v>43226</v>
      </c>
      <c r="B1587">
        <v>3.34</v>
      </c>
      <c r="C1587">
        <v>10.66</v>
      </c>
      <c r="D1587">
        <v>0.25</v>
      </c>
      <c r="E1587">
        <v>18.2</v>
      </c>
      <c r="F1587">
        <v>9</v>
      </c>
      <c r="G1587">
        <v>0</v>
      </c>
      <c r="H1587">
        <v>3</v>
      </c>
      <c r="I1587">
        <v>13.5</v>
      </c>
    </row>
    <row r="1588" spans="1:9" x14ac:dyDescent="0.25">
      <c r="A1588" s="18">
        <v>43227</v>
      </c>
      <c r="B1588">
        <v>9.66</v>
      </c>
      <c r="C1588">
        <v>3.3000000000000002E-2</v>
      </c>
      <c r="D1588">
        <v>0</v>
      </c>
      <c r="E1588">
        <v>22</v>
      </c>
      <c r="F1588">
        <v>13</v>
      </c>
      <c r="G1588">
        <v>0</v>
      </c>
      <c r="H1588">
        <v>7</v>
      </c>
      <c r="I1588">
        <v>3</v>
      </c>
    </row>
    <row r="1589" spans="1:9" x14ac:dyDescent="0.25">
      <c r="A1589" s="18">
        <v>43228</v>
      </c>
      <c r="B1589">
        <v>10.5</v>
      </c>
      <c r="C1589">
        <v>5.84</v>
      </c>
      <c r="D1589">
        <v>1</v>
      </c>
      <c r="E1589">
        <v>15</v>
      </c>
      <c r="F1589">
        <v>14</v>
      </c>
      <c r="G1589">
        <v>2</v>
      </c>
      <c r="H1589">
        <v>1</v>
      </c>
      <c r="I1589">
        <v>9</v>
      </c>
    </row>
    <row r="1590" spans="1:9" x14ac:dyDescent="0.25">
      <c r="A1590" s="18">
        <v>43229</v>
      </c>
      <c r="B1590">
        <v>9.34</v>
      </c>
      <c r="C1590">
        <v>2.33</v>
      </c>
      <c r="D1590">
        <v>7</v>
      </c>
      <c r="E1590">
        <v>24.4</v>
      </c>
      <c r="F1590">
        <v>8</v>
      </c>
      <c r="G1590">
        <v>2</v>
      </c>
      <c r="H1590">
        <v>2</v>
      </c>
      <c r="I1590">
        <v>5</v>
      </c>
    </row>
    <row r="1591" spans="1:9" x14ac:dyDescent="0.25">
      <c r="A1591" s="18">
        <v>43230</v>
      </c>
      <c r="B1591">
        <v>8.5</v>
      </c>
      <c r="C1591">
        <v>5.32</v>
      </c>
      <c r="D1591">
        <v>6</v>
      </c>
      <c r="E1591">
        <v>39</v>
      </c>
      <c r="F1591">
        <v>12</v>
      </c>
      <c r="G1591">
        <v>0</v>
      </c>
      <c r="H1591">
        <v>1</v>
      </c>
      <c r="I1591">
        <v>6</v>
      </c>
    </row>
    <row r="1592" spans="1:9" x14ac:dyDescent="0.25">
      <c r="A1592" s="18">
        <v>43231</v>
      </c>
      <c r="B1592">
        <v>9.33</v>
      </c>
      <c r="C1592">
        <v>1.34</v>
      </c>
      <c r="D1592">
        <v>3</v>
      </c>
      <c r="E1592">
        <v>19</v>
      </c>
      <c r="F1592">
        <v>6</v>
      </c>
      <c r="G1592">
        <v>0</v>
      </c>
      <c r="H1592">
        <v>2</v>
      </c>
      <c r="I1592">
        <v>10</v>
      </c>
    </row>
    <row r="1593" spans="1:9" x14ac:dyDescent="0.25">
      <c r="A1593" s="18">
        <v>43232</v>
      </c>
      <c r="B1593">
        <v>1.33</v>
      </c>
      <c r="C1593">
        <v>3.66</v>
      </c>
      <c r="D1593">
        <v>5.15</v>
      </c>
      <c r="E1593">
        <v>27</v>
      </c>
      <c r="F1593">
        <v>10</v>
      </c>
      <c r="G1593">
        <v>0</v>
      </c>
      <c r="H1593">
        <v>11</v>
      </c>
      <c r="I1593">
        <v>8</v>
      </c>
    </row>
    <row r="1594" spans="1:9" x14ac:dyDescent="0.25">
      <c r="A1594" s="18">
        <v>43233</v>
      </c>
      <c r="B1594">
        <v>5.16</v>
      </c>
      <c r="C1594">
        <v>5.7590000000000003</v>
      </c>
      <c r="D1594">
        <v>3</v>
      </c>
      <c r="E1594">
        <v>14.4</v>
      </c>
      <c r="F1594">
        <v>3</v>
      </c>
      <c r="G1594">
        <v>0</v>
      </c>
      <c r="H1594">
        <v>7</v>
      </c>
      <c r="I1594">
        <v>10</v>
      </c>
    </row>
    <row r="1595" spans="1:9" x14ac:dyDescent="0.25">
      <c r="A1595" s="18">
        <v>43234</v>
      </c>
      <c r="B1595">
        <v>6</v>
      </c>
      <c r="C1595">
        <v>6.5389999999999997</v>
      </c>
      <c r="D1595">
        <v>1</v>
      </c>
      <c r="E1595">
        <v>20</v>
      </c>
      <c r="F1595">
        <v>4</v>
      </c>
      <c r="G1595">
        <v>1</v>
      </c>
      <c r="H1595">
        <v>37</v>
      </c>
      <c r="I1595">
        <v>3</v>
      </c>
    </row>
    <row r="1596" spans="1:9" x14ac:dyDescent="0.25">
      <c r="A1596" s="18">
        <v>43235</v>
      </c>
      <c r="B1596">
        <v>4</v>
      </c>
      <c r="C1596">
        <v>0.67</v>
      </c>
      <c r="D1596">
        <v>2</v>
      </c>
      <c r="E1596">
        <v>14</v>
      </c>
      <c r="F1596">
        <v>11</v>
      </c>
      <c r="G1596">
        <v>0</v>
      </c>
      <c r="H1596">
        <v>5</v>
      </c>
      <c r="I1596">
        <v>7</v>
      </c>
    </row>
    <row r="1597" spans="1:9" x14ac:dyDescent="0.25">
      <c r="A1597" s="18">
        <v>43236</v>
      </c>
      <c r="B1597">
        <v>4.01</v>
      </c>
      <c r="C1597">
        <v>2.33</v>
      </c>
      <c r="D1597">
        <v>2.5</v>
      </c>
      <c r="E1597">
        <v>13.4</v>
      </c>
      <c r="F1597">
        <v>9</v>
      </c>
      <c r="G1597">
        <v>0</v>
      </c>
      <c r="H1597">
        <v>2</v>
      </c>
      <c r="I1597">
        <v>8</v>
      </c>
    </row>
    <row r="1598" spans="1:9" x14ac:dyDescent="0.25">
      <c r="A1598" s="18">
        <v>43237</v>
      </c>
      <c r="B1598">
        <v>2</v>
      </c>
      <c r="C1598">
        <v>2.78</v>
      </c>
      <c r="D1598">
        <v>3.5</v>
      </c>
      <c r="E1598">
        <v>16</v>
      </c>
      <c r="F1598">
        <v>11</v>
      </c>
      <c r="G1598">
        <v>0</v>
      </c>
      <c r="H1598">
        <v>1</v>
      </c>
      <c r="I1598">
        <v>4</v>
      </c>
    </row>
    <row r="1599" spans="1:9" x14ac:dyDescent="0.25">
      <c r="A1599" s="18">
        <v>43238</v>
      </c>
      <c r="B1599">
        <v>2.34</v>
      </c>
      <c r="C1599">
        <v>1.3959999999999999</v>
      </c>
      <c r="D1599">
        <v>6</v>
      </c>
      <c r="E1599">
        <v>30</v>
      </c>
      <c r="F1599">
        <v>11</v>
      </c>
      <c r="G1599">
        <v>0</v>
      </c>
      <c r="H1599">
        <v>2</v>
      </c>
      <c r="I1599">
        <v>2.4</v>
      </c>
    </row>
    <row r="1600" spans="1:9" x14ac:dyDescent="0.25">
      <c r="A1600" s="18">
        <v>43239</v>
      </c>
      <c r="B1600">
        <v>2.34</v>
      </c>
      <c r="C1600">
        <v>2.5609999999999999</v>
      </c>
      <c r="D1600">
        <v>1</v>
      </c>
      <c r="E1600">
        <v>18.399999999999999</v>
      </c>
      <c r="F1600">
        <v>7</v>
      </c>
      <c r="G1600">
        <v>5</v>
      </c>
      <c r="H1600">
        <v>0</v>
      </c>
      <c r="I1600">
        <v>5</v>
      </c>
    </row>
    <row r="1601" spans="1:9" x14ac:dyDescent="0.25">
      <c r="A1601" s="18">
        <v>43240</v>
      </c>
      <c r="B1601">
        <v>7</v>
      </c>
      <c r="C1601">
        <v>8.01</v>
      </c>
      <c r="D1601">
        <v>1</v>
      </c>
      <c r="E1601">
        <v>45</v>
      </c>
      <c r="F1601">
        <v>6</v>
      </c>
      <c r="G1601">
        <v>1</v>
      </c>
      <c r="H1601">
        <v>0</v>
      </c>
      <c r="I1601">
        <v>10</v>
      </c>
    </row>
    <row r="1602" spans="1:9" x14ac:dyDescent="0.25">
      <c r="A1602" s="18">
        <v>43241</v>
      </c>
      <c r="B1602">
        <v>12</v>
      </c>
      <c r="C1602">
        <v>2.7589999999999999</v>
      </c>
      <c r="D1602">
        <v>2.15</v>
      </c>
      <c r="E1602">
        <v>14.6</v>
      </c>
      <c r="F1602">
        <v>18</v>
      </c>
      <c r="G1602">
        <v>0</v>
      </c>
      <c r="H1602">
        <v>11</v>
      </c>
      <c r="I1602">
        <v>5</v>
      </c>
    </row>
    <row r="1603" spans="1:9" x14ac:dyDescent="0.25">
      <c r="A1603" s="18">
        <v>43242</v>
      </c>
      <c r="B1603">
        <v>3.67</v>
      </c>
      <c r="C1603">
        <v>2.33</v>
      </c>
      <c r="D1603">
        <v>3</v>
      </c>
      <c r="E1603">
        <v>8.0619999999999994</v>
      </c>
      <c r="F1603">
        <v>7</v>
      </c>
      <c r="G1603">
        <v>0</v>
      </c>
      <c r="H1603">
        <v>6</v>
      </c>
      <c r="I1603">
        <v>6</v>
      </c>
    </row>
    <row r="1604" spans="1:9" x14ac:dyDescent="0.25">
      <c r="A1604" s="18">
        <v>43243</v>
      </c>
      <c r="B1604">
        <v>1.5</v>
      </c>
      <c r="C1604">
        <v>3.66</v>
      </c>
      <c r="D1604">
        <v>0</v>
      </c>
      <c r="E1604">
        <v>11</v>
      </c>
      <c r="F1604">
        <v>7</v>
      </c>
      <c r="G1604">
        <v>0</v>
      </c>
      <c r="H1604">
        <v>0</v>
      </c>
      <c r="I1604">
        <v>7</v>
      </c>
    </row>
    <row r="1605" spans="1:9" x14ac:dyDescent="0.25">
      <c r="A1605" s="18">
        <v>43244</v>
      </c>
      <c r="B1605">
        <v>2</v>
      </c>
      <c r="C1605">
        <v>1.99</v>
      </c>
      <c r="D1605">
        <v>5</v>
      </c>
      <c r="E1605">
        <v>20.2</v>
      </c>
      <c r="F1605">
        <v>6</v>
      </c>
      <c r="G1605">
        <v>1</v>
      </c>
      <c r="H1605">
        <v>10</v>
      </c>
      <c r="I1605">
        <v>1</v>
      </c>
    </row>
    <row r="1606" spans="1:9" x14ac:dyDescent="0.25">
      <c r="A1606" s="18">
        <v>43245</v>
      </c>
      <c r="B1606">
        <v>2.33</v>
      </c>
      <c r="C1606">
        <v>2.33</v>
      </c>
      <c r="D1606">
        <v>2</v>
      </c>
      <c r="E1606">
        <v>16.399999999999999</v>
      </c>
      <c r="F1606">
        <v>9</v>
      </c>
      <c r="G1606">
        <v>0</v>
      </c>
      <c r="H1606">
        <v>1</v>
      </c>
      <c r="I1606">
        <v>2</v>
      </c>
    </row>
    <row r="1607" spans="1:9" x14ac:dyDescent="0.25">
      <c r="A1607" s="18">
        <v>43246</v>
      </c>
      <c r="B1607">
        <v>3.33</v>
      </c>
      <c r="C1607">
        <v>2.7589999999999999</v>
      </c>
      <c r="D1607">
        <v>7</v>
      </c>
      <c r="E1607">
        <v>16.262</v>
      </c>
      <c r="F1607">
        <v>7</v>
      </c>
      <c r="G1607">
        <v>0</v>
      </c>
      <c r="H1607">
        <v>3</v>
      </c>
      <c r="I1607">
        <v>5</v>
      </c>
    </row>
    <row r="1608" spans="1:9" x14ac:dyDescent="0.25">
      <c r="A1608" s="18">
        <v>43247</v>
      </c>
      <c r="B1608">
        <v>6.33</v>
      </c>
      <c r="C1608">
        <v>4.5179999999999998</v>
      </c>
      <c r="D1608">
        <v>5</v>
      </c>
      <c r="E1608">
        <v>49.262</v>
      </c>
      <c r="F1608">
        <v>6</v>
      </c>
      <c r="G1608">
        <v>1</v>
      </c>
      <c r="H1608">
        <v>0</v>
      </c>
      <c r="I1608">
        <v>11</v>
      </c>
    </row>
    <row r="1609" spans="1:9" x14ac:dyDescent="0.25">
      <c r="A1609" s="18">
        <v>43248</v>
      </c>
      <c r="B1609">
        <v>7</v>
      </c>
      <c r="C1609">
        <v>3.01</v>
      </c>
      <c r="D1609">
        <v>1.2</v>
      </c>
      <c r="E1609">
        <v>19.600000000000001</v>
      </c>
      <c r="F1609">
        <v>7</v>
      </c>
      <c r="G1609">
        <v>0</v>
      </c>
      <c r="H1609">
        <v>7</v>
      </c>
      <c r="I1609">
        <v>6</v>
      </c>
    </row>
    <row r="1610" spans="1:9" x14ac:dyDescent="0.25">
      <c r="A1610" s="18">
        <v>43249</v>
      </c>
      <c r="B1610">
        <v>9</v>
      </c>
      <c r="C1610">
        <v>4.0330000000000004</v>
      </c>
      <c r="D1610">
        <v>3.3</v>
      </c>
      <c r="E1610">
        <v>21.25</v>
      </c>
      <c r="F1610">
        <v>7</v>
      </c>
      <c r="G1610">
        <v>0</v>
      </c>
      <c r="H1610">
        <v>4</v>
      </c>
      <c r="I1610">
        <v>6</v>
      </c>
    </row>
    <row r="1611" spans="1:9" x14ac:dyDescent="0.25">
      <c r="A1611" s="18">
        <v>43250</v>
      </c>
      <c r="B1611">
        <v>4.34</v>
      </c>
      <c r="C1611">
        <v>1.67</v>
      </c>
      <c r="D1611">
        <v>2</v>
      </c>
      <c r="E1611">
        <v>16.399999999999999</v>
      </c>
      <c r="F1611">
        <v>9</v>
      </c>
      <c r="G1611">
        <v>0</v>
      </c>
      <c r="H1611">
        <v>14</v>
      </c>
      <c r="I1611">
        <v>10</v>
      </c>
    </row>
    <row r="1612" spans="1:9" x14ac:dyDescent="0.25">
      <c r="A1612" s="18">
        <v>43251</v>
      </c>
      <c r="B1612">
        <v>3.5</v>
      </c>
      <c r="C1612">
        <v>3.66</v>
      </c>
      <c r="D1612">
        <v>1.35</v>
      </c>
      <c r="E1612">
        <v>11.4</v>
      </c>
      <c r="F1612">
        <v>10</v>
      </c>
      <c r="G1612">
        <v>0</v>
      </c>
      <c r="H1612">
        <v>8</v>
      </c>
      <c r="I1612">
        <v>5.64</v>
      </c>
    </row>
    <row r="1613" spans="1:9" x14ac:dyDescent="0.25">
      <c r="A1613" s="18">
        <v>43252</v>
      </c>
      <c r="B1613">
        <v>12.33</v>
      </c>
      <c r="C1613">
        <v>2.1800000000000002</v>
      </c>
      <c r="D1613">
        <v>4</v>
      </c>
      <c r="E1613">
        <v>29</v>
      </c>
      <c r="F1613">
        <v>9</v>
      </c>
      <c r="G1613">
        <v>0</v>
      </c>
      <c r="H1613">
        <v>5</v>
      </c>
      <c r="I1613">
        <v>3</v>
      </c>
    </row>
    <row r="1614" spans="1:9" x14ac:dyDescent="0.25">
      <c r="A1614" s="18">
        <v>43253</v>
      </c>
      <c r="B1614">
        <v>8</v>
      </c>
      <c r="C1614">
        <v>3.0859999999999999</v>
      </c>
      <c r="D1614">
        <v>4</v>
      </c>
      <c r="E1614">
        <v>23</v>
      </c>
      <c r="F1614">
        <v>9</v>
      </c>
      <c r="G1614">
        <v>3</v>
      </c>
      <c r="H1614">
        <v>7</v>
      </c>
      <c r="I1614">
        <v>9</v>
      </c>
    </row>
    <row r="1615" spans="1:9" x14ac:dyDescent="0.25">
      <c r="A1615" s="18">
        <v>43254</v>
      </c>
      <c r="B1615">
        <v>5</v>
      </c>
      <c r="C1615">
        <v>2.746</v>
      </c>
      <c r="D1615">
        <v>1</v>
      </c>
      <c r="E1615">
        <v>22.4</v>
      </c>
      <c r="F1615">
        <v>8</v>
      </c>
      <c r="G1615">
        <v>1</v>
      </c>
      <c r="H1615">
        <v>0</v>
      </c>
      <c r="I1615">
        <v>2</v>
      </c>
    </row>
    <row r="1616" spans="1:9" x14ac:dyDescent="0.25">
      <c r="A1616" s="18">
        <v>43255</v>
      </c>
      <c r="B1616">
        <v>3.33</v>
      </c>
      <c r="C1616">
        <v>3</v>
      </c>
      <c r="D1616">
        <v>6</v>
      </c>
      <c r="E1616">
        <v>19</v>
      </c>
      <c r="F1616">
        <v>3</v>
      </c>
      <c r="G1616">
        <v>0</v>
      </c>
      <c r="H1616">
        <v>6</v>
      </c>
      <c r="I1616">
        <v>6</v>
      </c>
    </row>
    <row r="1617" spans="1:9" x14ac:dyDescent="0.25">
      <c r="A1617" s="18">
        <v>43256</v>
      </c>
      <c r="B1617">
        <v>4.33</v>
      </c>
      <c r="C1617">
        <v>3.67</v>
      </c>
      <c r="D1617">
        <v>1.05</v>
      </c>
      <c r="E1617">
        <v>20</v>
      </c>
      <c r="F1617">
        <v>7</v>
      </c>
      <c r="G1617">
        <v>2</v>
      </c>
      <c r="H1617">
        <v>0</v>
      </c>
      <c r="I1617">
        <v>7</v>
      </c>
    </row>
    <row r="1618" spans="1:9" x14ac:dyDescent="0.25">
      <c r="A1618" s="18">
        <v>43257</v>
      </c>
      <c r="B1618">
        <v>6</v>
      </c>
      <c r="C1618">
        <v>2.34</v>
      </c>
      <c r="D1618">
        <v>0.15</v>
      </c>
      <c r="E1618">
        <v>17.25</v>
      </c>
      <c r="F1618">
        <v>16</v>
      </c>
      <c r="G1618">
        <v>3</v>
      </c>
      <c r="H1618">
        <v>0</v>
      </c>
      <c r="I1618">
        <v>2</v>
      </c>
    </row>
    <row r="1619" spans="1:9" x14ac:dyDescent="0.25">
      <c r="A1619" s="18">
        <v>43258</v>
      </c>
      <c r="B1619">
        <v>2</v>
      </c>
      <c r="C1619">
        <v>4.5279999999999996</v>
      </c>
      <c r="D1619">
        <v>0.25</v>
      </c>
      <c r="E1619">
        <v>19</v>
      </c>
      <c r="F1619">
        <v>11</v>
      </c>
      <c r="G1619">
        <v>1</v>
      </c>
      <c r="H1619">
        <v>10</v>
      </c>
      <c r="I1619">
        <v>2</v>
      </c>
    </row>
    <row r="1620" spans="1:9" x14ac:dyDescent="0.25">
      <c r="A1620" s="18">
        <v>43259</v>
      </c>
      <c r="B1620">
        <v>4</v>
      </c>
      <c r="C1620">
        <v>1.33</v>
      </c>
      <c r="D1620">
        <v>2</v>
      </c>
      <c r="E1620">
        <v>9</v>
      </c>
      <c r="F1620">
        <v>6</v>
      </c>
      <c r="G1620">
        <v>0</v>
      </c>
      <c r="H1620">
        <v>2</v>
      </c>
      <c r="I1620">
        <v>4.4000000000000004</v>
      </c>
    </row>
    <row r="1621" spans="1:9" x14ac:dyDescent="0.25">
      <c r="A1621" s="18">
        <v>43260</v>
      </c>
      <c r="B1621">
        <v>8</v>
      </c>
      <c r="C1621">
        <v>6.4619999999999997</v>
      </c>
      <c r="D1621">
        <v>3</v>
      </c>
      <c r="E1621">
        <v>21</v>
      </c>
      <c r="F1621">
        <v>11</v>
      </c>
      <c r="G1621">
        <v>0</v>
      </c>
      <c r="H1621">
        <v>5</v>
      </c>
      <c r="I1621">
        <v>0</v>
      </c>
    </row>
    <row r="1622" spans="1:9" x14ac:dyDescent="0.25">
      <c r="A1622" s="18">
        <v>43261</v>
      </c>
      <c r="B1622">
        <v>2.66</v>
      </c>
      <c r="C1622">
        <v>4.6929999999999996</v>
      </c>
      <c r="D1622">
        <v>5</v>
      </c>
      <c r="E1622">
        <v>33.200000000000003</v>
      </c>
      <c r="F1622">
        <v>7</v>
      </c>
      <c r="G1622">
        <v>0</v>
      </c>
      <c r="H1622">
        <v>0</v>
      </c>
      <c r="I1622">
        <v>3</v>
      </c>
    </row>
    <row r="1623" spans="1:9" x14ac:dyDescent="0.25">
      <c r="A1623" s="18">
        <v>43262</v>
      </c>
      <c r="B1623">
        <v>8</v>
      </c>
      <c r="C1623">
        <v>8.33</v>
      </c>
      <c r="D1623">
        <v>3.1</v>
      </c>
      <c r="E1623">
        <v>17</v>
      </c>
      <c r="F1623">
        <v>17</v>
      </c>
      <c r="G1623">
        <v>0</v>
      </c>
      <c r="H1623">
        <v>0</v>
      </c>
      <c r="I1623">
        <v>6</v>
      </c>
    </row>
    <row r="1624" spans="1:9" x14ac:dyDescent="0.25">
      <c r="A1624" s="18">
        <v>43263</v>
      </c>
      <c r="B1624">
        <v>2.34</v>
      </c>
      <c r="C1624">
        <v>4.5</v>
      </c>
      <c r="D1624">
        <v>4</v>
      </c>
      <c r="E1624">
        <v>18.186</v>
      </c>
      <c r="F1624">
        <v>3</v>
      </c>
      <c r="G1624">
        <v>0</v>
      </c>
      <c r="H1624">
        <v>1</v>
      </c>
      <c r="I1624">
        <v>7.4</v>
      </c>
    </row>
    <row r="1625" spans="1:9" x14ac:dyDescent="0.25">
      <c r="A1625" s="18">
        <v>43264</v>
      </c>
      <c r="B1625">
        <v>12</v>
      </c>
      <c r="C1625">
        <v>4.33</v>
      </c>
      <c r="D1625">
        <v>1.2</v>
      </c>
      <c r="E1625">
        <v>22.25</v>
      </c>
      <c r="F1625">
        <v>1</v>
      </c>
      <c r="G1625">
        <v>0</v>
      </c>
      <c r="H1625">
        <v>0</v>
      </c>
      <c r="I1625">
        <v>2</v>
      </c>
    </row>
    <row r="1626" spans="1:9" x14ac:dyDescent="0.25">
      <c r="A1626" s="18">
        <v>43265</v>
      </c>
      <c r="B1626">
        <v>0</v>
      </c>
      <c r="C1626">
        <v>1</v>
      </c>
      <c r="D1626">
        <v>1</v>
      </c>
      <c r="E1626">
        <v>22</v>
      </c>
      <c r="F1626">
        <v>11</v>
      </c>
      <c r="G1626">
        <v>0</v>
      </c>
      <c r="H1626">
        <v>0</v>
      </c>
      <c r="I1626">
        <v>2</v>
      </c>
    </row>
    <row r="1627" spans="1:9" x14ac:dyDescent="0.25">
      <c r="A1627" s="18">
        <v>43266</v>
      </c>
      <c r="B1627">
        <v>1</v>
      </c>
      <c r="C1627">
        <v>6.6000000000000003E-2</v>
      </c>
      <c r="D1627">
        <v>0.3</v>
      </c>
      <c r="E1627">
        <v>11.132999999999999</v>
      </c>
      <c r="F1627">
        <v>10</v>
      </c>
      <c r="G1627">
        <v>0</v>
      </c>
      <c r="H1627">
        <v>8</v>
      </c>
      <c r="I1627">
        <v>2</v>
      </c>
    </row>
    <row r="1628" spans="1:9" x14ac:dyDescent="0.25">
      <c r="A1628" s="18">
        <v>43267</v>
      </c>
      <c r="B1628">
        <v>3.34</v>
      </c>
      <c r="C1628">
        <v>6.383</v>
      </c>
      <c r="D1628">
        <v>5</v>
      </c>
      <c r="E1628">
        <v>10</v>
      </c>
      <c r="F1628">
        <v>5</v>
      </c>
      <c r="G1628">
        <v>0</v>
      </c>
      <c r="H1628">
        <v>2</v>
      </c>
      <c r="I1628">
        <v>7</v>
      </c>
    </row>
    <row r="1629" spans="1:9" x14ac:dyDescent="0.25">
      <c r="A1629" s="18">
        <v>43268</v>
      </c>
      <c r="B1629">
        <v>4.84</v>
      </c>
      <c r="C1629">
        <v>6.5860000000000003</v>
      </c>
      <c r="D1629">
        <v>6</v>
      </c>
      <c r="E1629">
        <v>24</v>
      </c>
      <c r="F1629">
        <v>10</v>
      </c>
      <c r="G1629">
        <v>0</v>
      </c>
      <c r="H1629">
        <v>5</v>
      </c>
      <c r="I1629">
        <v>4</v>
      </c>
    </row>
    <row r="1630" spans="1:9" x14ac:dyDescent="0.25">
      <c r="A1630" s="18">
        <v>43269</v>
      </c>
      <c r="B1630">
        <v>4.5</v>
      </c>
      <c r="C1630">
        <v>1.33</v>
      </c>
      <c r="D1630">
        <v>2.1</v>
      </c>
      <c r="E1630">
        <v>14</v>
      </c>
      <c r="F1630">
        <v>4</v>
      </c>
      <c r="G1630">
        <v>0</v>
      </c>
      <c r="H1630">
        <v>1</v>
      </c>
      <c r="I1630">
        <v>6</v>
      </c>
    </row>
    <row r="1631" spans="1:9" x14ac:dyDescent="0.25">
      <c r="A1631" s="18">
        <v>43270</v>
      </c>
      <c r="B1631">
        <v>4</v>
      </c>
      <c r="C1631">
        <v>3.34</v>
      </c>
      <c r="D1631">
        <v>4</v>
      </c>
      <c r="E1631">
        <v>23</v>
      </c>
      <c r="F1631">
        <v>8</v>
      </c>
      <c r="G1631">
        <v>0</v>
      </c>
      <c r="H1631">
        <v>5</v>
      </c>
      <c r="I1631">
        <v>3</v>
      </c>
    </row>
    <row r="1632" spans="1:9" x14ac:dyDescent="0.25">
      <c r="A1632" s="18">
        <v>43271</v>
      </c>
      <c r="B1632">
        <v>3.66</v>
      </c>
      <c r="C1632">
        <v>4.5279999999999996</v>
      </c>
      <c r="D1632">
        <v>2.5</v>
      </c>
      <c r="E1632">
        <v>15.061999999999999</v>
      </c>
      <c r="F1632">
        <v>8</v>
      </c>
      <c r="G1632">
        <v>3</v>
      </c>
      <c r="H1632">
        <v>11</v>
      </c>
      <c r="I1632">
        <v>2.6</v>
      </c>
    </row>
    <row r="1633" spans="1:9" x14ac:dyDescent="0.25">
      <c r="A1633" s="18">
        <v>43272</v>
      </c>
      <c r="B1633">
        <v>3.35</v>
      </c>
      <c r="C1633">
        <v>2.9129999999999998</v>
      </c>
      <c r="D1633">
        <v>4</v>
      </c>
      <c r="E1633">
        <v>36</v>
      </c>
      <c r="F1633">
        <v>5</v>
      </c>
      <c r="G1633">
        <v>0</v>
      </c>
      <c r="H1633">
        <v>5</v>
      </c>
      <c r="I1633">
        <v>10.5</v>
      </c>
    </row>
    <row r="1634" spans="1:9" x14ac:dyDescent="0.25">
      <c r="A1634" s="18">
        <v>43273</v>
      </c>
      <c r="B1634">
        <v>5</v>
      </c>
      <c r="C1634">
        <v>5.0990000000000002</v>
      </c>
      <c r="D1634">
        <v>4.1500000000000004</v>
      </c>
      <c r="E1634">
        <v>12</v>
      </c>
      <c r="F1634">
        <v>3</v>
      </c>
      <c r="G1634">
        <v>0</v>
      </c>
      <c r="H1634">
        <v>6</v>
      </c>
      <c r="I1634">
        <v>5.5</v>
      </c>
    </row>
    <row r="1635" spans="1:9" x14ac:dyDescent="0.25">
      <c r="A1635" s="18">
        <v>43274</v>
      </c>
      <c r="B1635">
        <v>5.33</v>
      </c>
      <c r="C1635">
        <v>7.343</v>
      </c>
      <c r="D1635">
        <v>2</v>
      </c>
      <c r="E1635">
        <v>14</v>
      </c>
      <c r="F1635">
        <v>7</v>
      </c>
      <c r="G1635">
        <v>0</v>
      </c>
      <c r="H1635">
        <v>1</v>
      </c>
      <c r="I1635">
        <v>2</v>
      </c>
    </row>
    <row r="1636" spans="1:9" x14ac:dyDescent="0.25">
      <c r="A1636" s="18">
        <v>43275</v>
      </c>
      <c r="B1636">
        <v>1.67</v>
      </c>
      <c r="C1636">
        <v>4.7460000000000004</v>
      </c>
      <c r="D1636">
        <v>2</v>
      </c>
      <c r="E1636">
        <v>29</v>
      </c>
      <c r="F1636">
        <v>10</v>
      </c>
      <c r="G1636">
        <v>0</v>
      </c>
      <c r="H1636">
        <v>0</v>
      </c>
      <c r="I1636">
        <v>3</v>
      </c>
    </row>
    <row r="1637" spans="1:9" x14ac:dyDescent="0.25">
      <c r="A1637" s="18">
        <v>43276</v>
      </c>
      <c r="B1637">
        <v>3.33</v>
      </c>
      <c r="C1637">
        <v>3.0990000000000002</v>
      </c>
      <c r="D1637">
        <v>0</v>
      </c>
      <c r="E1637">
        <v>31.062000000000001</v>
      </c>
      <c r="F1637">
        <v>12</v>
      </c>
      <c r="G1637">
        <v>3</v>
      </c>
      <c r="H1637">
        <v>5</v>
      </c>
      <c r="I1637">
        <v>2</v>
      </c>
    </row>
    <row r="1638" spans="1:9" x14ac:dyDescent="0.25">
      <c r="A1638" s="18">
        <v>43277</v>
      </c>
      <c r="B1638">
        <v>10.33</v>
      </c>
      <c r="C1638">
        <v>5.67</v>
      </c>
      <c r="D1638">
        <v>3</v>
      </c>
      <c r="E1638">
        <v>15</v>
      </c>
      <c r="F1638">
        <v>6</v>
      </c>
      <c r="G1638">
        <v>0</v>
      </c>
      <c r="H1638">
        <v>9</v>
      </c>
      <c r="I1638">
        <v>4.4000000000000004</v>
      </c>
    </row>
    <row r="1639" spans="1:9" x14ac:dyDescent="0.25">
      <c r="A1639" s="18">
        <v>43278</v>
      </c>
      <c r="B1639">
        <v>2</v>
      </c>
      <c r="C1639">
        <v>2.3959999999999999</v>
      </c>
      <c r="D1639">
        <v>3</v>
      </c>
      <c r="E1639">
        <v>11</v>
      </c>
      <c r="F1639">
        <v>10</v>
      </c>
      <c r="G1639">
        <v>0</v>
      </c>
      <c r="H1639">
        <v>2</v>
      </c>
      <c r="I1639">
        <v>3</v>
      </c>
    </row>
    <row r="1640" spans="1:9" x14ac:dyDescent="0.25">
      <c r="A1640" s="18">
        <v>43279</v>
      </c>
      <c r="B1640">
        <v>3</v>
      </c>
      <c r="C1640">
        <v>2.1920000000000002</v>
      </c>
      <c r="D1640">
        <v>4</v>
      </c>
      <c r="E1640">
        <v>10</v>
      </c>
      <c r="F1640">
        <v>13</v>
      </c>
      <c r="G1640">
        <v>0</v>
      </c>
      <c r="H1640">
        <v>5</v>
      </c>
      <c r="I1640">
        <v>2</v>
      </c>
    </row>
    <row r="1641" spans="1:9" x14ac:dyDescent="0.25">
      <c r="A1641" s="18">
        <v>43280</v>
      </c>
      <c r="B1641">
        <v>1</v>
      </c>
      <c r="C1641">
        <v>3</v>
      </c>
      <c r="D1641">
        <v>2</v>
      </c>
      <c r="E1641">
        <v>10</v>
      </c>
      <c r="F1641">
        <v>8</v>
      </c>
      <c r="G1641">
        <v>0</v>
      </c>
      <c r="H1641">
        <v>0</v>
      </c>
      <c r="I1641">
        <v>4</v>
      </c>
    </row>
    <row r="1642" spans="1:9" x14ac:dyDescent="0.25">
      <c r="A1642" s="18">
        <v>43281</v>
      </c>
      <c r="B1642">
        <v>6.84</v>
      </c>
      <c r="C1642">
        <v>3.34</v>
      </c>
      <c r="D1642">
        <v>7</v>
      </c>
      <c r="E1642">
        <v>26.8</v>
      </c>
      <c r="F1642">
        <v>10</v>
      </c>
      <c r="G1642">
        <v>2</v>
      </c>
      <c r="H1642">
        <v>0</v>
      </c>
      <c r="I1642">
        <v>4</v>
      </c>
    </row>
    <row r="1643" spans="1:9" x14ac:dyDescent="0.25">
      <c r="A1643" s="18">
        <v>43282</v>
      </c>
      <c r="B1643">
        <v>2</v>
      </c>
      <c r="C1643">
        <v>3.6930000000000001</v>
      </c>
      <c r="D1643">
        <v>1</v>
      </c>
      <c r="E1643">
        <v>22</v>
      </c>
      <c r="F1643">
        <v>7</v>
      </c>
      <c r="G1643">
        <v>0</v>
      </c>
      <c r="H1643">
        <v>10</v>
      </c>
      <c r="I1643">
        <v>4</v>
      </c>
    </row>
    <row r="1644" spans="1:9" x14ac:dyDescent="0.25">
      <c r="A1644" s="18">
        <v>43283</v>
      </c>
      <c r="B1644">
        <v>3.33</v>
      </c>
      <c r="C1644">
        <v>6.33</v>
      </c>
      <c r="D1644">
        <v>3</v>
      </c>
      <c r="E1644">
        <v>24.6</v>
      </c>
      <c r="F1644">
        <v>18</v>
      </c>
      <c r="G1644">
        <v>0</v>
      </c>
      <c r="H1644">
        <v>3</v>
      </c>
      <c r="I1644">
        <v>7</v>
      </c>
    </row>
    <row r="1645" spans="1:9" x14ac:dyDescent="0.25">
      <c r="A1645" s="18">
        <v>43284</v>
      </c>
      <c r="B1645">
        <v>6.34</v>
      </c>
      <c r="C1645">
        <v>2.33</v>
      </c>
      <c r="D1645">
        <v>1</v>
      </c>
      <c r="E1645">
        <v>13.6</v>
      </c>
      <c r="F1645">
        <v>9</v>
      </c>
      <c r="G1645">
        <v>0</v>
      </c>
      <c r="H1645">
        <v>8</v>
      </c>
      <c r="I1645">
        <v>3</v>
      </c>
    </row>
    <row r="1646" spans="1:9" x14ac:dyDescent="0.25">
      <c r="A1646" s="18">
        <v>43285</v>
      </c>
      <c r="B1646">
        <v>1</v>
      </c>
      <c r="C1646">
        <v>2.83</v>
      </c>
      <c r="D1646">
        <v>3.5</v>
      </c>
      <c r="E1646">
        <v>16.25</v>
      </c>
      <c r="F1646">
        <v>6</v>
      </c>
      <c r="G1646">
        <v>0</v>
      </c>
      <c r="H1646">
        <v>22</v>
      </c>
      <c r="I1646">
        <v>7</v>
      </c>
    </row>
    <row r="1647" spans="1:9" x14ac:dyDescent="0.25">
      <c r="A1647" s="18">
        <v>43286</v>
      </c>
      <c r="B1647">
        <v>4.33</v>
      </c>
      <c r="C1647">
        <v>2.7589999999999999</v>
      </c>
      <c r="D1647">
        <v>4</v>
      </c>
      <c r="E1647">
        <v>15</v>
      </c>
      <c r="F1647">
        <v>6</v>
      </c>
      <c r="G1647">
        <v>3</v>
      </c>
      <c r="H1647">
        <v>3</v>
      </c>
      <c r="I1647">
        <v>1</v>
      </c>
    </row>
    <row r="1648" spans="1:9" x14ac:dyDescent="0.25">
      <c r="A1648" s="18">
        <v>43287</v>
      </c>
      <c r="B1648">
        <v>2.33</v>
      </c>
      <c r="C1648">
        <v>5.33</v>
      </c>
      <c r="D1648">
        <v>1.25</v>
      </c>
      <c r="E1648">
        <v>20</v>
      </c>
      <c r="F1648">
        <v>15</v>
      </c>
      <c r="G1648">
        <v>0</v>
      </c>
      <c r="H1648">
        <v>0</v>
      </c>
      <c r="I1648">
        <v>6</v>
      </c>
    </row>
    <row r="1649" spans="1:9" x14ac:dyDescent="0.25">
      <c r="A1649" s="18">
        <v>43288</v>
      </c>
      <c r="B1649">
        <v>6.33</v>
      </c>
      <c r="C1649">
        <v>8.52</v>
      </c>
      <c r="D1649">
        <v>7</v>
      </c>
      <c r="E1649">
        <v>19</v>
      </c>
      <c r="F1649">
        <v>14</v>
      </c>
      <c r="G1649">
        <v>0</v>
      </c>
      <c r="H1649">
        <v>0</v>
      </c>
      <c r="I1649">
        <v>5.5</v>
      </c>
    </row>
    <row r="1650" spans="1:9" x14ac:dyDescent="0.25">
      <c r="A1650" s="18">
        <v>43289</v>
      </c>
      <c r="B1650">
        <v>7.33</v>
      </c>
      <c r="C1650">
        <v>5.2110000000000003</v>
      </c>
      <c r="D1650">
        <v>2</v>
      </c>
      <c r="E1650">
        <v>28</v>
      </c>
      <c r="F1650">
        <v>10</v>
      </c>
      <c r="G1650">
        <v>0</v>
      </c>
      <c r="H1650">
        <v>5</v>
      </c>
      <c r="I1650">
        <v>4</v>
      </c>
    </row>
    <row r="1651" spans="1:9" x14ac:dyDescent="0.25">
      <c r="A1651" s="18">
        <v>43290</v>
      </c>
      <c r="B1651">
        <v>3.33</v>
      </c>
      <c r="C1651">
        <v>2</v>
      </c>
      <c r="D1651">
        <v>4</v>
      </c>
      <c r="E1651">
        <v>31</v>
      </c>
      <c r="F1651">
        <v>12</v>
      </c>
      <c r="G1651">
        <v>3</v>
      </c>
      <c r="H1651">
        <v>0</v>
      </c>
      <c r="I1651">
        <v>3</v>
      </c>
    </row>
    <row r="1652" spans="1:9" x14ac:dyDescent="0.25">
      <c r="A1652" s="18">
        <v>43291</v>
      </c>
      <c r="B1652">
        <v>6</v>
      </c>
      <c r="C1652">
        <v>6.36</v>
      </c>
      <c r="D1652">
        <v>4</v>
      </c>
      <c r="E1652">
        <v>34</v>
      </c>
      <c r="F1652">
        <v>9</v>
      </c>
      <c r="G1652">
        <v>2</v>
      </c>
      <c r="H1652">
        <v>2</v>
      </c>
      <c r="I1652">
        <v>4</v>
      </c>
    </row>
    <row r="1653" spans="1:9" x14ac:dyDescent="0.25">
      <c r="A1653" s="18">
        <v>43292</v>
      </c>
      <c r="B1653">
        <v>10</v>
      </c>
      <c r="C1653">
        <v>3.363</v>
      </c>
      <c r="D1653">
        <v>3</v>
      </c>
      <c r="E1653">
        <v>29.4</v>
      </c>
      <c r="F1653">
        <v>13</v>
      </c>
      <c r="G1653">
        <v>0</v>
      </c>
      <c r="H1653">
        <v>6</v>
      </c>
      <c r="I1653">
        <v>2</v>
      </c>
    </row>
    <row r="1654" spans="1:9" x14ac:dyDescent="0.25">
      <c r="A1654" s="18">
        <v>43293</v>
      </c>
      <c r="B1654">
        <v>3</v>
      </c>
      <c r="C1654">
        <v>4.34</v>
      </c>
      <c r="D1654">
        <v>7</v>
      </c>
      <c r="E1654">
        <v>24</v>
      </c>
      <c r="F1654">
        <v>11</v>
      </c>
      <c r="G1654">
        <v>4</v>
      </c>
      <c r="H1654">
        <v>0</v>
      </c>
      <c r="I1654">
        <v>3</v>
      </c>
    </row>
    <row r="1655" spans="1:9" x14ac:dyDescent="0.25">
      <c r="A1655" s="18">
        <v>43294</v>
      </c>
      <c r="B1655">
        <v>1.34</v>
      </c>
      <c r="C1655">
        <v>2.67</v>
      </c>
      <c r="D1655">
        <v>1.1499999999999999</v>
      </c>
      <c r="E1655">
        <v>22</v>
      </c>
      <c r="F1655">
        <v>5</v>
      </c>
      <c r="G1655">
        <v>0</v>
      </c>
      <c r="H1655">
        <v>2</v>
      </c>
      <c r="I1655">
        <v>3</v>
      </c>
    </row>
    <row r="1656" spans="1:9" x14ac:dyDescent="0.25">
      <c r="A1656" s="18">
        <v>43295</v>
      </c>
      <c r="B1656">
        <v>0</v>
      </c>
      <c r="C1656">
        <v>3.2</v>
      </c>
      <c r="D1656">
        <v>0</v>
      </c>
      <c r="E1656">
        <v>26</v>
      </c>
      <c r="F1656">
        <v>8</v>
      </c>
      <c r="G1656">
        <v>0</v>
      </c>
      <c r="H1656">
        <v>0</v>
      </c>
      <c r="I1656">
        <v>1.4</v>
      </c>
    </row>
    <row r="1657" spans="1:9" x14ac:dyDescent="0.25">
      <c r="A1657" s="18">
        <v>43296</v>
      </c>
      <c r="B1657">
        <v>10</v>
      </c>
      <c r="C1657">
        <v>9.42</v>
      </c>
      <c r="D1657">
        <v>3.5</v>
      </c>
      <c r="E1657">
        <v>23</v>
      </c>
      <c r="F1657">
        <v>4</v>
      </c>
      <c r="G1657">
        <v>0</v>
      </c>
      <c r="H1657">
        <v>1</v>
      </c>
      <c r="I1657">
        <v>7</v>
      </c>
    </row>
    <row r="1658" spans="1:9" x14ac:dyDescent="0.25">
      <c r="A1658" s="18">
        <v>43297</v>
      </c>
      <c r="B1658">
        <v>9.33</v>
      </c>
      <c r="C1658">
        <v>5.0229999999999997</v>
      </c>
      <c r="D1658">
        <v>1</v>
      </c>
      <c r="E1658">
        <v>22</v>
      </c>
      <c r="F1658">
        <v>8</v>
      </c>
      <c r="G1658">
        <v>0</v>
      </c>
      <c r="H1658">
        <v>0</v>
      </c>
      <c r="I1658">
        <v>3</v>
      </c>
    </row>
    <row r="1659" spans="1:9" x14ac:dyDescent="0.25">
      <c r="A1659" s="18">
        <v>43298</v>
      </c>
      <c r="B1659">
        <v>2.33</v>
      </c>
      <c r="C1659">
        <v>3.66</v>
      </c>
      <c r="D1659">
        <v>2</v>
      </c>
      <c r="E1659">
        <v>29.4</v>
      </c>
      <c r="F1659">
        <v>13</v>
      </c>
      <c r="G1659">
        <v>0</v>
      </c>
      <c r="H1659">
        <v>0</v>
      </c>
      <c r="I1659">
        <v>6</v>
      </c>
    </row>
    <row r="1660" spans="1:9" x14ac:dyDescent="0.25">
      <c r="A1660" s="18">
        <v>43299</v>
      </c>
      <c r="B1660">
        <v>2.5</v>
      </c>
      <c r="C1660">
        <v>2.8370000000000002</v>
      </c>
      <c r="D1660">
        <v>5</v>
      </c>
      <c r="E1660">
        <v>10</v>
      </c>
      <c r="F1660">
        <v>17</v>
      </c>
      <c r="G1660">
        <v>0</v>
      </c>
      <c r="H1660">
        <v>12</v>
      </c>
      <c r="I1660">
        <v>6</v>
      </c>
    </row>
    <row r="1661" spans="1:9" x14ac:dyDescent="0.25">
      <c r="A1661" s="18">
        <v>43300</v>
      </c>
      <c r="B1661">
        <v>6.84</v>
      </c>
      <c r="C1661">
        <v>4</v>
      </c>
      <c r="D1661">
        <v>3</v>
      </c>
      <c r="E1661">
        <v>16</v>
      </c>
      <c r="F1661">
        <v>14</v>
      </c>
      <c r="G1661">
        <v>1</v>
      </c>
      <c r="H1661">
        <v>0</v>
      </c>
      <c r="I1661">
        <v>3</v>
      </c>
    </row>
    <row r="1662" spans="1:9" x14ac:dyDescent="0.25">
      <c r="A1662" s="18">
        <v>43301</v>
      </c>
      <c r="B1662">
        <v>5</v>
      </c>
      <c r="C1662">
        <v>7.1769999999999996</v>
      </c>
      <c r="D1662">
        <v>5</v>
      </c>
      <c r="E1662">
        <v>35.200000000000003</v>
      </c>
      <c r="F1662">
        <v>2</v>
      </c>
      <c r="G1662">
        <v>1</v>
      </c>
      <c r="H1662">
        <v>2</v>
      </c>
      <c r="I1662">
        <v>4</v>
      </c>
    </row>
    <row r="1663" spans="1:9" x14ac:dyDescent="0.25">
      <c r="A1663" s="18">
        <v>43302</v>
      </c>
      <c r="B1663">
        <v>4</v>
      </c>
      <c r="C1663">
        <v>5.0199999999999996</v>
      </c>
      <c r="D1663">
        <v>0.3</v>
      </c>
      <c r="E1663">
        <v>22</v>
      </c>
      <c r="F1663">
        <v>7</v>
      </c>
      <c r="G1663">
        <v>0</v>
      </c>
      <c r="H1663">
        <v>5</v>
      </c>
      <c r="I1663">
        <v>1</v>
      </c>
    </row>
    <row r="1664" spans="1:9" x14ac:dyDescent="0.25">
      <c r="A1664" s="18">
        <v>43303</v>
      </c>
      <c r="B1664">
        <v>3.66</v>
      </c>
      <c r="C1664">
        <v>4.34</v>
      </c>
      <c r="D1664">
        <v>0</v>
      </c>
      <c r="E1664">
        <v>31</v>
      </c>
      <c r="F1664">
        <v>4</v>
      </c>
      <c r="G1664">
        <v>0</v>
      </c>
      <c r="H1664">
        <v>5</v>
      </c>
      <c r="I1664">
        <v>6</v>
      </c>
    </row>
    <row r="1665" spans="1:9" x14ac:dyDescent="0.25">
      <c r="A1665" s="18">
        <v>43304</v>
      </c>
      <c r="B1665">
        <v>8.68</v>
      </c>
      <c r="C1665">
        <v>1.863</v>
      </c>
      <c r="D1665">
        <v>2.1</v>
      </c>
      <c r="E1665">
        <v>12</v>
      </c>
      <c r="F1665">
        <v>15</v>
      </c>
      <c r="G1665">
        <v>1</v>
      </c>
      <c r="H1665">
        <v>0</v>
      </c>
      <c r="I1665">
        <v>5.3</v>
      </c>
    </row>
    <row r="1666" spans="1:9" x14ac:dyDescent="0.25">
      <c r="A1666" s="18">
        <v>43305</v>
      </c>
      <c r="B1666">
        <v>9.68</v>
      </c>
      <c r="C1666">
        <v>4</v>
      </c>
      <c r="D1666">
        <v>2</v>
      </c>
      <c r="E1666">
        <v>22</v>
      </c>
      <c r="F1666">
        <v>4</v>
      </c>
      <c r="G1666">
        <v>1</v>
      </c>
      <c r="H1666">
        <v>2</v>
      </c>
      <c r="I1666">
        <v>2</v>
      </c>
    </row>
    <row r="1667" spans="1:9" x14ac:dyDescent="0.25">
      <c r="A1667" s="18">
        <v>43306</v>
      </c>
      <c r="B1667">
        <v>5</v>
      </c>
      <c r="C1667">
        <v>2.68</v>
      </c>
      <c r="D1667">
        <v>2</v>
      </c>
      <c r="E1667">
        <v>16</v>
      </c>
      <c r="F1667">
        <v>7</v>
      </c>
      <c r="G1667">
        <v>0</v>
      </c>
      <c r="H1667">
        <v>0</v>
      </c>
      <c r="I1667">
        <v>2</v>
      </c>
    </row>
    <row r="1668" spans="1:9" x14ac:dyDescent="0.25">
      <c r="A1668" s="18">
        <v>43307</v>
      </c>
      <c r="B1668">
        <v>4.33</v>
      </c>
      <c r="C1668">
        <v>1.827</v>
      </c>
      <c r="D1668">
        <v>5</v>
      </c>
      <c r="E1668">
        <v>24</v>
      </c>
      <c r="F1668">
        <v>4</v>
      </c>
      <c r="G1668">
        <v>0</v>
      </c>
      <c r="H1668">
        <v>1</v>
      </c>
      <c r="I1668">
        <v>4</v>
      </c>
    </row>
    <row r="1669" spans="1:9" x14ac:dyDescent="0.25">
      <c r="A1669" s="18">
        <v>43308</v>
      </c>
      <c r="B1669">
        <v>2.34</v>
      </c>
      <c r="C1669">
        <v>3.34</v>
      </c>
      <c r="D1669">
        <v>3</v>
      </c>
      <c r="E1669">
        <v>19.399999999999999</v>
      </c>
      <c r="F1669">
        <v>11</v>
      </c>
      <c r="G1669">
        <v>0</v>
      </c>
      <c r="H1669">
        <v>1</v>
      </c>
      <c r="I1669">
        <v>6</v>
      </c>
    </row>
    <row r="1670" spans="1:9" x14ac:dyDescent="0.25">
      <c r="A1670" s="18">
        <v>43309</v>
      </c>
      <c r="B1670">
        <v>6</v>
      </c>
      <c r="C1670">
        <v>4.01</v>
      </c>
      <c r="D1670">
        <v>1</v>
      </c>
      <c r="E1670">
        <v>24.5</v>
      </c>
      <c r="F1670">
        <v>9</v>
      </c>
      <c r="G1670">
        <v>0</v>
      </c>
      <c r="H1670">
        <v>0</v>
      </c>
      <c r="I1670">
        <v>3</v>
      </c>
    </row>
    <row r="1671" spans="1:9" x14ac:dyDescent="0.25">
      <c r="A1671" s="18">
        <v>43310</v>
      </c>
      <c r="B1671">
        <v>3.5</v>
      </c>
      <c r="C1671">
        <v>4.3499999999999996</v>
      </c>
      <c r="D1671">
        <v>2.1</v>
      </c>
      <c r="E1671">
        <v>9</v>
      </c>
      <c r="F1671">
        <v>7</v>
      </c>
      <c r="G1671">
        <v>1</v>
      </c>
      <c r="H1671">
        <v>0</v>
      </c>
      <c r="I1671">
        <v>3</v>
      </c>
    </row>
    <row r="1672" spans="1:9" x14ac:dyDescent="0.25">
      <c r="A1672" s="18">
        <v>43311</v>
      </c>
      <c r="B1672">
        <v>3</v>
      </c>
      <c r="C1672">
        <v>6.33</v>
      </c>
      <c r="D1672">
        <v>5.3</v>
      </c>
      <c r="E1672">
        <v>26</v>
      </c>
      <c r="F1672">
        <v>9</v>
      </c>
      <c r="G1672">
        <v>2</v>
      </c>
      <c r="H1672">
        <v>0</v>
      </c>
      <c r="I1672">
        <v>4</v>
      </c>
    </row>
    <row r="1673" spans="1:9" x14ac:dyDescent="0.25">
      <c r="A1673" s="18">
        <v>43312</v>
      </c>
      <c r="B1673">
        <v>7.33</v>
      </c>
      <c r="C1673">
        <v>3.7360000000000002</v>
      </c>
      <c r="D1673">
        <v>3</v>
      </c>
      <c r="E1673">
        <v>13</v>
      </c>
      <c r="F1673">
        <v>5</v>
      </c>
      <c r="G1673">
        <v>0</v>
      </c>
      <c r="H1673">
        <v>0</v>
      </c>
      <c r="I1673">
        <v>3</v>
      </c>
    </row>
    <row r="1674" spans="1:9" x14ac:dyDescent="0.25">
      <c r="A1674" s="18">
        <v>43313</v>
      </c>
      <c r="B1674">
        <v>1</v>
      </c>
      <c r="C1674">
        <v>2.34</v>
      </c>
      <c r="D1674">
        <v>1</v>
      </c>
      <c r="E1674">
        <v>14</v>
      </c>
      <c r="F1674">
        <v>9</v>
      </c>
      <c r="G1674">
        <v>1</v>
      </c>
      <c r="H1674">
        <v>1</v>
      </c>
      <c r="I1674">
        <v>7</v>
      </c>
    </row>
    <row r="1675" spans="1:9" x14ac:dyDescent="0.25">
      <c r="A1675" s="18">
        <v>43314</v>
      </c>
      <c r="B1675">
        <v>0</v>
      </c>
      <c r="C1675">
        <v>1</v>
      </c>
      <c r="D1675">
        <v>0</v>
      </c>
      <c r="E1675">
        <v>11</v>
      </c>
      <c r="F1675">
        <v>11</v>
      </c>
      <c r="G1675">
        <v>0</v>
      </c>
      <c r="H1675">
        <v>2</v>
      </c>
      <c r="I1675">
        <v>5</v>
      </c>
    </row>
    <row r="1676" spans="1:9" x14ac:dyDescent="0.25">
      <c r="A1676" s="18">
        <v>43315</v>
      </c>
      <c r="B1676">
        <v>4.01</v>
      </c>
      <c r="C1676">
        <v>2.67</v>
      </c>
      <c r="D1676">
        <v>2</v>
      </c>
      <c r="E1676">
        <v>21</v>
      </c>
      <c r="F1676">
        <v>9</v>
      </c>
      <c r="G1676">
        <v>0</v>
      </c>
      <c r="H1676">
        <v>0</v>
      </c>
      <c r="I1676">
        <v>1</v>
      </c>
    </row>
    <row r="1677" spans="1:9" x14ac:dyDescent="0.25">
      <c r="A1677" s="18">
        <v>43316</v>
      </c>
      <c r="B1677">
        <v>5</v>
      </c>
      <c r="C1677">
        <v>3.87</v>
      </c>
      <c r="D1677">
        <v>2</v>
      </c>
      <c r="E1677">
        <v>8</v>
      </c>
      <c r="F1677">
        <v>11</v>
      </c>
      <c r="G1677">
        <v>3</v>
      </c>
      <c r="H1677">
        <v>0</v>
      </c>
      <c r="I1677">
        <v>8</v>
      </c>
    </row>
    <row r="1678" spans="1:9" x14ac:dyDescent="0.25">
      <c r="A1678" s="18">
        <v>43317</v>
      </c>
      <c r="B1678">
        <v>6</v>
      </c>
      <c r="C1678">
        <v>0.99</v>
      </c>
      <c r="D1678">
        <v>5</v>
      </c>
      <c r="E1678">
        <v>13</v>
      </c>
      <c r="F1678">
        <v>4</v>
      </c>
      <c r="G1678">
        <v>2</v>
      </c>
      <c r="H1678">
        <v>6</v>
      </c>
      <c r="I1678">
        <v>1.3</v>
      </c>
    </row>
    <row r="1679" spans="1:9" x14ac:dyDescent="0.25">
      <c r="A1679" s="18">
        <v>43318</v>
      </c>
      <c r="B1679">
        <v>8.33</v>
      </c>
      <c r="C1679">
        <v>6.165</v>
      </c>
      <c r="D1679">
        <v>2</v>
      </c>
      <c r="E1679">
        <v>21.388000000000002</v>
      </c>
      <c r="F1679">
        <v>7</v>
      </c>
      <c r="G1679">
        <v>0</v>
      </c>
      <c r="H1679">
        <v>6</v>
      </c>
      <c r="I1679">
        <v>2</v>
      </c>
    </row>
    <row r="1680" spans="1:9" x14ac:dyDescent="0.25">
      <c r="A1680" s="18">
        <v>43319</v>
      </c>
      <c r="B1680">
        <v>2.33</v>
      </c>
      <c r="C1680">
        <v>2.67</v>
      </c>
      <c r="D1680">
        <v>8</v>
      </c>
      <c r="E1680">
        <v>15</v>
      </c>
      <c r="F1680">
        <v>7</v>
      </c>
      <c r="G1680">
        <v>1</v>
      </c>
      <c r="H1680">
        <v>1</v>
      </c>
      <c r="I1680">
        <v>3</v>
      </c>
    </row>
    <row r="1681" spans="1:9" x14ac:dyDescent="0.25">
      <c r="A1681" s="18">
        <v>43320</v>
      </c>
      <c r="B1681">
        <v>4.33</v>
      </c>
      <c r="C1681">
        <v>2.7930000000000001</v>
      </c>
      <c r="D1681">
        <v>2</v>
      </c>
      <c r="E1681">
        <v>10</v>
      </c>
      <c r="F1681">
        <v>13</v>
      </c>
      <c r="G1681">
        <v>0</v>
      </c>
      <c r="H1681">
        <v>0</v>
      </c>
      <c r="I1681">
        <v>2</v>
      </c>
    </row>
    <row r="1682" spans="1:9" x14ac:dyDescent="0.25">
      <c r="A1682" s="18">
        <v>43321</v>
      </c>
      <c r="B1682">
        <v>2.67</v>
      </c>
      <c r="C1682">
        <v>3.0659999999999998</v>
      </c>
      <c r="D1682">
        <v>1</v>
      </c>
      <c r="E1682">
        <v>29.4</v>
      </c>
      <c r="F1682">
        <v>13</v>
      </c>
      <c r="G1682">
        <v>0</v>
      </c>
      <c r="H1682">
        <v>0</v>
      </c>
      <c r="I1682">
        <v>2</v>
      </c>
    </row>
    <row r="1683" spans="1:9" x14ac:dyDescent="0.25">
      <c r="A1683" s="18">
        <v>43322</v>
      </c>
      <c r="B1683">
        <v>6</v>
      </c>
      <c r="C1683">
        <v>4</v>
      </c>
      <c r="D1683">
        <v>4</v>
      </c>
      <c r="E1683">
        <v>19</v>
      </c>
      <c r="F1683">
        <v>4</v>
      </c>
      <c r="G1683">
        <v>0</v>
      </c>
      <c r="H1683">
        <v>0</v>
      </c>
      <c r="I1683">
        <v>2</v>
      </c>
    </row>
    <row r="1684" spans="1:9" x14ac:dyDescent="0.25">
      <c r="A1684" s="18">
        <v>43323</v>
      </c>
      <c r="B1684">
        <v>4</v>
      </c>
      <c r="C1684">
        <v>4.133</v>
      </c>
      <c r="D1684">
        <v>6</v>
      </c>
      <c r="E1684">
        <v>37</v>
      </c>
      <c r="F1684">
        <v>16</v>
      </c>
      <c r="G1684">
        <v>1</v>
      </c>
      <c r="H1684">
        <v>5</v>
      </c>
      <c r="I1684">
        <v>10</v>
      </c>
    </row>
    <row r="1685" spans="1:9" x14ac:dyDescent="0.25">
      <c r="A1685" s="18">
        <v>43324</v>
      </c>
      <c r="B1685">
        <v>10.99</v>
      </c>
      <c r="C1685">
        <v>4.99</v>
      </c>
      <c r="D1685">
        <v>6</v>
      </c>
      <c r="E1685">
        <v>16</v>
      </c>
      <c r="F1685">
        <v>6</v>
      </c>
      <c r="G1685">
        <v>0</v>
      </c>
      <c r="H1685">
        <v>1</v>
      </c>
      <c r="I1685">
        <v>2</v>
      </c>
    </row>
    <row r="1686" spans="1:9" x14ac:dyDescent="0.25">
      <c r="A1686" s="18">
        <v>43325</v>
      </c>
      <c r="B1686">
        <v>3.33</v>
      </c>
      <c r="C1686">
        <v>5.0199999999999996</v>
      </c>
      <c r="D1686">
        <v>2</v>
      </c>
      <c r="E1686">
        <v>23.25</v>
      </c>
      <c r="F1686">
        <v>15</v>
      </c>
      <c r="G1686">
        <v>0</v>
      </c>
      <c r="H1686">
        <v>3</v>
      </c>
      <c r="I1686">
        <v>2</v>
      </c>
    </row>
    <row r="1687" spans="1:9" x14ac:dyDescent="0.25">
      <c r="A1687" s="18">
        <v>43326</v>
      </c>
      <c r="B1687">
        <v>1.33</v>
      </c>
      <c r="C1687">
        <v>2.7360000000000002</v>
      </c>
      <c r="D1687">
        <v>5</v>
      </c>
      <c r="E1687">
        <v>12</v>
      </c>
      <c r="F1687">
        <v>9</v>
      </c>
      <c r="G1687">
        <v>0</v>
      </c>
      <c r="H1687">
        <v>4</v>
      </c>
      <c r="I1687">
        <v>5</v>
      </c>
    </row>
    <row r="1688" spans="1:9" x14ac:dyDescent="0.25">
      <c r="A1688" s="18">
        <v>43327</v>
      </c>
      <c r="B1688">
        <v>8.34</v>
      </c>
      <c r="C1688">
        <v>4.1989999999999998</v>
      </c>
      <c r="D1688">
        <v>2</v>
      </c>
      <c r="E1688">
        <v>32.200000000000003</v>
      </c>
      <c r="F1688">
        <v>13</v>
      </c>
      <c r="G1688">
        <v>2</v>
      </c>
      <c r="H1688">
        <v>0</v>
      </c>
      <c r="I1688">
        <v>1</v>
      </c>
    </row>
    <row r="1689" spans="1:9" x14ac:dyDescent="0.25">
      <c r="A1689" s="18">
        <v>43328</v>
      </c>
      <c r="B1689">
        <v>3.33</v>
      </c>
      <c r="C1689">
        <v>8.7289999999999992</v>
      </c>
      <c r="D1689">
        <v>4</v>
      </c>
      <c r="E1689">
        <v>27.4</v>
      </c>
      <c r="F1689">
        <v>6</v>
      </c>
      <c r="G1689">
        <v>3</v>
      </c>
      <c r="H1689">
        <v>5</v>
      </c>
      <c r="I1689">
        <v>5</v>
      </c>
    </row>
    <row r="1690" spans="1:9" x14ac:dyDescent="0.25">
      <c r="A1690" s="18">
        <v>43329</v>
      </c>
      <c r="B1690">
        <v>2.33</v>
      </c>
      <c r="C1690">
        <v>2.99</v>
      </c>
      <c r="D1690">
        <v>2.4</v>
      </c>
      <c r="E1690">
        <v>23</v>
      </c>
      <c r="F1690">
        <v>5</v>
      </c>
      <c r="G1690">
        <v>1</v>
      </c>
      <c r="H1690">
        <v>5</v>
      </c>
      <c r="I1690">
        <v>1</v>
      </c>
    </row>
    <row r="1691" spans="1:9" x14ac:dyDescent="0.25">
      <c r="A1691" s="18">
        <v>43330</v>
      </c>
      <c r="B1691">
        <v>6.33</v>
      </c>
      <c r="C1691">
        <v>5.34</v>
      </c>
      <c r="D1691">
        <v>0</v>
      </c>
      <c r="E1691">
        <v>32.1</v>
      </c>
      <c r="F1691">
        <v>5</v>
      </c>
      <c r="G1691">
        <v>1</v>
      </c>
      <c r="H1691">
        <v>6</v>
      </c>
      <c r="I1691">
        <v>0</v>
      </c>
    </row>
    <row r="1692" spans="1:9" x14ac:dyDescent="0.25">
      <c r="A1692" s="18">
        <v>43331</v>
      </c>
      <c r="B1692">
        <v>6.33</v>
      </c>
      <c r="C1692">
        <v>4.4950000000000001</v>
      </c>
      <c r="D1692">
        <v>1</v>
      </c>
      <c r="E1692">
        <v>19.899999999999999</v>
      </c>
      <c r="F1692">
        <v>3</v>
      </c>
      <c r="G1692">
        <v>0</v>
      </c>
      <c r="H1692">
        <v>5</v>
      </c>
      <c r="I1692">
        <v>6</v>
      </c>
    </row>
    <row r="1693" spans="1:9" x14ac:dyDescent="0.25">
      <c r="A1693" s="18">
        <v>43332</v>
      </c>
      <c r="B1693">
        <v>4</v>
      </c>
      <c r="C1693">
        <v>5.68</v>
      </c>
      <c r="D1693">
        <v>4.2</v>
      </c>
      <c r="E1693">
        <v>21.4</v>
      </c>
      <c r="F1693">
        <v>7</v>
      </c>
      <c r="G1693">
        <v>0</v>
      </c>
      <c r="H1693">
        <v>20</v>
      </c>
      <c r="I1693">
        <v>3</v>
      </c>
    </row>
    <row r="1694" spans="1:9" x14ac:dyDescent="0.25">
      <c r="A1694" s="18">
        <v>43333</v>
      </c>
      <c r="B1694">
        <v>2.34</v>
      </c>
      <c r="C1694">
        <v>3</v>
      </c>
      <c r="D1694">
        <v>2.15</v>
      </c>
      <c r="E1694">
        <v>26.2</v>
      </c>
      <c r="F1694">
        <v>4</v>
      </c>
      <c r="G1694">
        <v>1</v>
      </c>
      <c r="H1694">
        <v>1</v>
      </c>
      <c r="I1694">
        <v>4</v>
      </c>
    </row>
    <row r="1695" spans="1:9" x14ac:dyDescent="0.25">
      <c r="A1695" s="18">
        <v>43334</v>
      </c>
      <c r="B1695">
        <v>5</v>
      </c>
      <c r="C1695">
        <v>4.33</v>
      </c>
      <c r="D1695">
        <v>0</v>
      </c>
      <c r="E1695">
        <v>18</v>
      </c>
      <c r="F1695">
        <v>4</v>
      </c>
      <c r="G1695">
        <v>1</v>
      </c>
      <c r="H1695">
        <v>0</v>
      </c>
      <c r="I1695">
        <v>4</v>
      </c>
    </row>
    <row r="1696" spans="1:9" x14ac:dyDescent="0.25">
      <c r="A1696" s="18">
        <v>43335</v>
      </c>
      <c r="B1696">
        <v>5</v>
      </c>
      <c r="C1696">
        <v>4.0670000000000002</v>
      </c>
      <c r="D1696">
        <v>4</v>
      </c>
      <c r="E1696">
        <v>35</v>
      </c>
      <c r="F1696">
        <v>8</v>
      </c>
      <c r="G1696">
        <v>0</v>
      </c>
      <c r="H1696">
        <v>23</v>
      </c>
      <c r="I1696">
        <v>3</v>
      </c>
    </row>
    <row r="1697" spans="1:9" x14ac:dyDescent="0.25">
      <c r="A1697" s="18">
        <v>43336</v>
      </c>
      <c r="B1697">
        <v>4</v>
      </c>
      <c r="C1697">
        <v>2.34</v>
      </c>
      <c r="D1697">
        <v>1</v>
      </c>
      <c r="E1697">
        <v>38.5</v>
      </c>
      <c r="F1697">
        <v>7</v>
      </c>
      <c r="G1697">
        <v>0</v>
      </c>
      <c r="H1697">
        <v>21</v>
      </c>
      <c r="I1697">
        <v>4</v>
      </c>
    </row>
    <row r="1698" spans="1:9" x14ac:dyDescent="0.25">
      <c r="A1698" s="18">
        <v>43337</v>
      </c>
      <c r="B1698">
        <v>3.67</v>
      </c>
      <c r="C1698">
        <v>4.01</v>
      </c>
      <c r="D1698">
        <v>3.2</v>
      </c>
      <c r="E1698">
        <v>27</v>
      </c>
      <c r="F1698">
        <v>4</v>
      </c>
      <c r="G1698">
        <v>0</v>
      </c>
      <c r="H1698">
        <v>6</v>
      </c>
      <c r="I1698">
        <v>2.5</v>
      </c>
    </row>
    <row r="1699" spans="1:9" x14ac:dyDescent="0.25">
      <c r="A1699" s="18">
        <v>43338</v>
      </c>
      <c r="B1699">
        <v>11.33</v>
      </c>
      <c r="C1699">
        <v>6.67</v>
      </c>
      <c r="D1699">
        <v>4</v>
      </c>
      <c r="E1699">
        <v>57</v>
      </c>
      <c r="F1699">
        <v>10</v>
      </c>
      <c r="G1699">
        <v>0</v>
      </c>
      <c r="H1699">
        <v>8</v>
      </c>
      <c r="I1699">
        <v>4.3</v>
      </c>
    </row>
    <row r="1700" spans="1:9" x14ac:dyDescent="0.25">
      <c r="A1700" s="18">
        <v>43339</v>
      </c>
      <c r="B1700">
        <v>3.34</v>
      </c>
      <c r="C1700">
        <v>1</v>
      </c>
      <c r="D1700">
        <v>9</v>
      </c>
      <c r="E1700">
        <v>16</v>
      </c>
      <c r="F1700">
        <v>6</v>
      </c>
      <c r="G1700">
        <v>0</v>
      </c>
      <c r="H1700">
        <v>1</v>
      </c>
      <c r="I1700">
        <v>1</v>
      </c>
    </row>
    <row r="1701" spans="1:9" x14ac:dyDescent="0.25">
      <c r="A1701" s="18">
        <v>43340</v>
      </c>
      <c r="B1701">
        <v>2</v>
      </c>
      <c r="C1701">
        <v>2.68</v>
      </c>
      <c r="D1701">
        <v>1</v>
      </c>
      <c r="E1701">
        <v>26.4</v>
      </c>
      <c r="F1701">
        <v>7</v>
      </c>
      <c r="G1701">
        <v>1</v>
      </c>
      <c r="H1701">
        <v>0</v>
      </c>
      <c r="I1701">
        <v>3</v>
      </c>
    </row>
    <row r="1702" spans="1:9" x14ac:dyDescent="0.25">
      <c r="A1702" s="18">
        <v>43341</v>
      </c>
      <c r="B1702">
        <v>6.67</v>
      </c>
      <c r="C1702">
        <v>2.67</v>
      </c>
      <c r="D1702">
        <v>1.3</v>
      </c>
      <c r="E1702">
        <v>28.5</v>
      </c>
      <c r="F1702">
        <v>10</v>
      </c>
      <c r="G1702">
        <v>1</v>
      </c>
      <c r="H1702">
        <v>5</v>
      </c>
      <c r="I1702">
        <v>3</v>
      </c>
    </row>
    <row r="1703" spans="1:9" x14ac:dyDescent="0.25">
      <c r="A1703" s="18">
        <v>43342</v>
      </c>
      <c r="B1703">
        <v>2.33</v>
      </c>
      <c r="C1703">
        <v>2.7360000000000002</v>
      </c>
      <c r="D1703">
        <v>3</v>
      </c>
      <c r="E1703">
        <v>38</v>
      </c>
      <c r="F1703">
        <v>7</v>
      </c>
      <c r="G1703">
        <v>0</v>
      </c>
      <c r="H1703">
        <v>4</v>
      </c>
      <c r="I1703">
        <v>2</v>
      </c>
    </row>
    <row r="1704" spans="1:9" x14ac:dyDescent="0.25">
      <c r="A1704" s="18">
        <v>43343</v>
      </c>
      <c r="B1704">
        <v>4.34</v>
      </c>
      <c r="C1704">
        <v>3.34</v>
      </c>
      <c r="D1704">
        <v>0</v>
      </c>
      <c r="E1704">
        <v>17.2</v>
      </c>
      <c r="F1704">
        <v>13</v>
      </c>
      <c r="G1704">
        <v>1</v>
      </c>
      <c r="H1704">
        <v>20</v>
      </c>
      <c r="I1704">
        <v>4</v>
      </c>
    </row>
    <row r="1705" spans="1:9" x14ac:dyDescent="0.25">
      <c r="A1705" s="18">
        <v>43344</v>
      </c>
      <c r="B1705">
        <v>2.34</v>
      </c>
      <c r="C1705">
        <v>0</v>
      </c>
      <c r="D1705">
        <v>2.2000000000000002</v>
      </c>
      <c r="E1705">
        <v>19</v>
      </c>
      <c r="F1705">
        <v>6</v>
      </c>
      <c r="G1705">
        <v>1</v>
      </c>
      <c r="H1705">
        <v>1</v>
      </c>
      <c r="I1705">
        <v>2</v>
      </c>
    </row>
    <row r="1706" spans="1:9" x14ac:dyDescent="0.25">
      <c r="A1706" s="18">
        <v>43345</v>
      </c>
      <c r="B1706">
        <v>6.68</v>
      </c>
      <c r="C1706">
        <v>5.3730000000000002</v>
      </c>
      <c r="D1706">
        <v>3</v>
      </c>
      <c r="E1706">
        <v>20</v>
      </c>
      <c r="F1706">
        <v>5</v>
      </c>
      <c r="G1706">
        <v>0</v>
      </c>
      <c r="H1706">
        <v>5</v>
      </c>
      <c r="I1706">
        <v>2</v>
      </c>
    </row>
    <row r="1707" spans="1:9" x14ac:dyDescent="0.25">
      <c r="A1707" s="18">
        <v>43346</v>
      </c>
      <c r="B1707">
        <v>1</v>
      </c>
      <c r="C1707">
        <v>2.02</v>
      </c>
      <c r="D1707">
        <v>2</v>
      </c>
      <c r="E1707">
        <v>27.4</v>
      </c>
      <c r="F1707">
        <v>12</v>
      </c>
      <c r="G1707">
        <v>0</v>
      </c>
      <c r="H1707">
        <v>0</v>
      </c>
      <c r="I1707">
        <v>4</v>
      </c>
    </row>
    <row r="1708" spans="1:9" x14ac:dyDescent="0.25">
      <c r="A1708" s="18">
        <v>43347</v>
      </c>
      <c r="B1708">
        <v>4</v>
      </c>
      <c r="C1708">
        <v>1.0860000000000001</v>
      </c>
      <c r="D1708">
        <v>1</v>
      </c>
      <c r="E1708">
        <v>22</v>
      </c>
      <c r="F1708">
        <v>7</v>
      </c>
      <c r="G1708">
        <v>0</v>
      </c>
      <c r="H1708">
        <v>3</v>
      </c>
      <c r="I1708">
        <v>2</v>
      </c>
    </row>
    <row r="1709" spans="1:9" x14ac:dyDescent="0.25">
      <c r="A1709" s="18">
        <v>43348</v>
      </c>
      <c r="B1709">
        <v>6.5</v>
      </c>
      <c r="C1709">
        <v>3.33</v>
      </c>
      <c r="D1709">
        <v>1.5</v>
      </c>
      <c r="E1709">
        <v>28</v>
      </c>
      <c r="F1709">
        <v>11</v>
      </c>
      <c r="G1709">
        <v>0</v>
      </c>
      <c r="H1709">
        <v>3</v>
      </c>
      <c r="I1709">
        <v>2</v>
      </c>
    </row>
    <row r="1710" spans="1:9" x14ac:dyDescent="0.25">
      <c r="A1710" s="18">
        <v>43349</v>
      </c>
      <c r="B1710">
        <v>6.66</v>
      </c>
      <c r="C1710">
        <v>4.056</v>
      </c>
      <c r="D1710">
        <v>3</v>
      </c>
      <c r="E1710">
        <v>18.399999999999999</v>
      </c>
      <c r="F1710">
        <v>13</v>
      </c>
      <c r="G1710">
        <v>0</v>
      </c>
      <c r="H1710">
        <v>5</v>
      </c>
      <c r="I1710">
        <v>0</v>
      </c>
    </row>
    <row r="1711" spans="1:9" x14ac:dyDescent="0.25">
      <c r="A1711" s="18">
        <v>43350</v>
      </c>
      <c r="B1711">
        <v>2</v>
      </c>
      <c r="C1711">
        <v>1.746</v>
      </c>
      <c r="D1711">
        <v>4</v>
      </c>
      <c r="E1711">
        <v>42</v>
      </c>
      <c r="F1711">
        <v>6</v>
      </c>
      <c r="G1711">
        <v>0</v>
      </c>
      <c r="H1711">
        <v>22</v>
      </c>
      <c r="I1711">
        <v>7.7</v>
      </c>
    </row>
    <row r="1712" spans="1:9" x14ac:dyDescent="0.25">
      <c r="A1712" s="18">
        <v>43351</v>
      </c>
      <c r="B1712">
        <v>10</v>
      </c>
      <c r="C1712">
        <v>2.34</v>
      </c>
      <c r="D1712">
        <v>6.1</v>
      </c>
      <c r="E1712">
        <v>35.4</v>
      </c>
      <c r="F1712">
        <v>12</v>
      </c>
      <c r="G1712">
        <v>0</v>
      </c>
      <c r="H1712">
        <v>10</v>
      </c>
      <c r="I1712">
        <v>1</v>
      </c>
    </row>
    <row r="1713" spans="1:9" x14ac:dyDescent="0.25">
      <c r="A1713" s="18">
        <v>43352</v>
      </c>
      <c r="B1713">
        <v>4</v>
      </c>
      <c r="C1713">
        <v>5.944</v>
      </c>
      <c r="D1713">
        <v>0</v>
      </c>
      <c r="E1713">
        <v>50</v>
      </c>
      <c r="F1713">
        <v>2</v>
      </c>
      <c r="G1713">
        <v>0</v>
      </c>
      <c r="H1713">
        <v>0</v>
      </c>
      <c r="I1713">
        <v>5</v>
      </c>
    </row>
    <row r="1714" spans="1:9" x14ac:dyDescent="0.25">
      <c r="A1714" s="18">
        <v>43353</v>
      </c>
      <c r="B1714">
        <v>7</v>
      </c>
      <c r="C1714">
        <v>2.4060000000000001</v>
      </c>
      <c r="D1714">
        <v>2</v>
      </c>
      <c r="E1714">
        <v>49.4</v>
      </c>
      <c r="F1714">
        <v>14</v>
      </c>
      <c r="G1714">
        <v>3</v>
      </c>
      <c r="H1714">
        <v>1</v>
      </c>
      <c r="I1714">
        <v>2</v>
      </c>
    </row>
    <row r="1715" spans="1:9" x14ac:dyDescent="0.25">
      <c r="A1715" s="18">
        <v>43354</v>
      </c>
      <c r="B1715">
        <v>9</v>
      </c>
      <c r="C1715">
        <v>2.726</v>
      </c>
      <c r="D1715">
        <v>3</v>
      </c>
      <c r="E1715">
        <v>50.6</v>
      </c>
      <c r="F1715">
        <v>15</v>
      </c>
      <c r="G1715">
        <v>0</v>
      </c>
      <c r="H1715">
        <v>6</v>
      </c>
      <c r="I1715">
        <v>4</v>
      </c>
    </row>
    <row r="1716" spans="1:9" x14ac:dyDescent="0.25">
      <c r="A1716" s="18">
        <v>43355</v>
      </c>
      <c r="B1716">
        <v>4</v>
      </c>
      <c r="C1716">
        <v>3</v>
      </c>
      <c r="D1716">
        <v>2</v>
      </c>
      <c r="E1716">
        <v>35</v>
      </c>
      <c r="F1716">
        <v>18</v>
      </c>
      <c r="G1716">
        <v>0</v>
      </c>
      <c r="H1716">
        <v>5</v>
      </c>
      <c r="I1716">
        <v>0</v>
      </c>
    </row>
    <row r="1717" spans="1:9" x14ac:dyDescent="0.25">
      <c r="A1717" s="18">
        <v>43356</v>
      </c>
      <c r="B1717">
        <v>2.83</v>
      </c>
      <c r="C1717">
        <v>3.0859999999999999</v>
      </c>
      <c r="D1717">
        <v>1</v>
      </c>
      <c r="E1717">
        <v>20.6</v>
      </c>
      <c r="F1717">
        <v>5</v>
      </c>
      <c r="G1717">
        <v>2</v>
      </c>
      <c r="H1717">
        <v>12</v>
      </c>
      <c r="I1717">
        <v>2</v>
      </c>
    </row>
    <row r="1718" spans="1:9" x14ac:dyDescent="0.25">
      <c r="A1718" s="18">
        <v>43357</v>
      </c>
      <c r="B1718">
        <v>8</v>
      </c>
      <c r="C1718">
        <v>7.02</v>
      </c>
      <c r="D1718">
        <v>4</v>
      </c>
      <c r="E1718">
        <v>54</v>
      </c>
      <c r="F1718">
        <v>7</v>
      </c>
      <c r="G1718">
        <v>0</v>
      </c>
      <c r="H1718">
        <v>1</v>
      </c>
      <c r="I1718">
        <v>2</v>
      </c>
    </row>
    <row r="1719" spans="1:9" x14ac:dyDescent="0.25">
      <c r="A1719" s="18">
        <v>43358</v>
      </c>
      <c r="B1719">
        <v>6</v>
      </c>
      <c r="C1719">
        <v>2.0099999999999998</v>
      </c>
      <c r="D1719">
        <v>4</v>
      </c>
      <c r="E1719">
        <v>19.7</v>
      </c>
      <c r="F1719">
        <v>6</v>
      </c>
      <c r="G1719">
        <v>0</v>
      </c>
      <c r="H1719">
        <v>10</v>
      </c>
      <c r="I1719">
        <v>4.4000000000000004</v>
      </c>
    </row>
    <row r="1720" spans="1:9" x14ac:dyDescent="0.25">
      <c r="A1720" s="18">
        <v>43359</v>
      </c>
      <c r="B1720">
        <v>3.33</v>
      </c>
      <c r="C1720">
        <v>0.67</v>
      </c>
      <c r="D1720">
        <v>3.25</v>
      </c>
      <c r="E1720">
        <v>24.25</v>
      </c>
      <c r="F1720">
        <v>6</v>
      </c>
      <c r="G1720">
        <v>1</v>
      </c>
      <c r="H1720">
        <v>7</v>
      </c>
      <c r="I1720">
        <v>3</v>
      </c>
    </row>
    <row r="1721" spans="1:9" x14ac:dyDescent="0.25">
      <c r="A1721" s="18">
        <v>43360</v>
      </c>
      <c r="B1721">
        <v>3</v>
      </c>
      <c r="C1721">
        <v>2.33</v>
      </c>
      <c r="D1721">
        <v>3.75</v>
      </c>
      <c r="E1721">
        <v>44.4</v>
      </c>
      <c r="F1721">
        <v>10</v>
      </c>
      <c r="G1721">
        <v>1</v>
      </c>
      <c r="H1721">
        <v>5</v>
      </c>
      <c r="I1721">
        <v>0</v>
      </c>
    </row>
    <row r="1722" spans="1:9" x14ac:dyDescent="0.25">
      <c r="A1722" s="18">
        <v>43361</v>
      </c>
      <c r="B1722">
        <v>4.34</v>
      </c>
      <c r="C1722">
        <v>3</v>
      </c>
      <c r="D1722">
        <v>3.7</v>
      </c>
      <c r="E1722">
        <v>20</v>
      </c>
      <c r="F1722">
        <v>6</v>
      </c>
      <c r="G1722">
        <v>0</v>
      </c>
      <c r="H1722">
        <v>1</v>
      </c>
      <c r="I1722">
        <v>5</v>
      </c>
    </row>
    <row r="1723" spans="1:9" x14ac:dyDescent="0.25">
      <c r="A1723" s="18">
        <v>43362</v>
      </c>
      <c r="B1723">
        <v>6</v>
      </c>
      <c r="C1723">
        <v>3.68</v>
      </c>
      <c r="D1723">
        <v>2</v>
      </c>
      <c r="E1723">
        <v>26</v>
      </c>
      <c r="F1723">
        <v>10</v>
      </c>
      <c r="G1723">
        <v>0</v>
      </c>
      <c r="H1723">
        <v>9</v>
      </c>
      <c r="I1723">
        <v>7</v>
      </c>
    </row>
    <row r="1724" spans="1:9" x14ac:dyDescent="0.25">
      <c r="A1724" s="18">
        <v>43363</v>
      </c>
      <c r="B1724">
        <v>2</v>
      </c>
      <c r="C1724">
        <v>4.0670000000000002</v>
      </c>
      <c r="D1724">
        <v>2</v>
      </c>
      <c r="E1724">
        <v>24.2</v>
      </c>
      <c r="F1724">
        <v>13</v>
      </c>
      <c r="G1724">
        <v>1</v>
      </c>
      <c r="H1724">
        <v>0</v>
      </c>
      <c r="I1724">
        <v>5</v>
      </c>
    </row>
    <row r="1725" spans="1:9" x14ac:dyDescent="0.25">
      <c r="A1725" s="18">
        <v>43364</v>
      </c>
      <c r="B1725">
        <v>4.66</v>
      </c>
      <c r="C1725">
        <v>5.8369999999999997</v>
      </c>
      <c r="D1725">
        <v>1</v>
      </c>
      <c r="E1725">
        <v>33.1</v>
      </c>
      <c r="F1725">
        <v>10</v>
      </c>
      <c r="G1725">
        <v>0</v>
      </c>
      <c r="H1725">
        <v>1</v>
      </c>
      <c r="I1725">
        <v>3</v>
      </c>
    </row>
    <row r="1726" spans="1:9" x14ac:dyDescent="0.25">
      <c r="A1726" s="18">
        <v>43365</v>
      </c>
      <c r="B1726">
        <v>6</v>
      </c>
      <c r="C1726">
        <v>3.8330000000000002</v>
      </c>
      <c r="D1726">
        <v>1.5</v>
      </c>
      <c r="E1726">
        <v>31.6</v>
      </c>
      <c r="F1726">
        <v>6</v>
      </c>
      <c r="G1726">
        <v>1</v>
      </c>
      <c r="H1726">
        <v>23</v>
      </c>
      <c r="I1726">
        <v>3</v>
      </c>
    </row>
    <row r="1727" spans="1:9" x14ac:dyDescent="0.25">
      <c r="A1727" s="18">
        <v>43366</v>
      </c>
      <c r="B1727">
        <v>7.34</v>
      </c>
      <c r="C1727">
        <v>9.4390000000000001</v>
      </c>
      <c r="D1727">
        <v>3.25</v>
      </c>
      <c r="E1727">
        <v>42.862000000000002</v>
      </c>
      <c r="F1727">
        <v>9</v>
      </c>
      <c r="G1727">
        <v>0</v>
      </c>
      <c r="H1727">
        <v>8</v>
      </c>
      <c r="I1727">
        <v>5</v>
      </c>
    </row>
    <row r="1728" spans="1:9" x14ac:dyDescent="0.25">
      <c r="A1728" s="18">
        <v>43367</v>
      </c>
      <c r="B1728">
        <v>7.33</v>
      </c>
      <c r="C1728">
        <v>3.67</v>
      </c>
      <c r="D1728">
        <v>5.5</v>
      </c>
      <c r="E1728">
        <v>53.8</v>
      </c>
      <c r="F1728">
        <v>7</v>
      </c>
      <c r="G1728">
        <v>0</v>
      </c>
      <c r="H1728">
        <v>9</v>
      </c>
      <c r="I1728">
        <v>2</v>
      </c>
    </row>
    <row r="1729" spans="1:9" x14ac:dyDescent="0.25">
      <c r="A1729" s="18">
        <v>43368</v>
      </c>
      <c r="B1729">
        <v>6</v>
      </c>
      <c r="C1729">
        <v>4.7359999999999998</v>
      </c>
      <c r="D1729">
        <v>3.3</v>
      </c>
      <c r="E1729">
        <v>53.85</v>
      </c>
      <c r="F1729">
        <v>11</v>
      </c>
      <c r="G1729">
        <v>0</v>
      </c>
      <c r="H1729">
        <v>22</v>
      </c>
      <c r="I1729">
        <v>2</v>
      </c>
    </row>
    <row r="1730" spans="1:9" x14ac:dyDescent="0.25">
      <c r="A1730" s="18">
        <v>43369</v>
      </c>
      <c r="B1730">
        <v>3</v>
      </c>
      <c r="C1730">
        <v>9</v>
      </c>
      <c r="D1730">
        <v>6</v>
      </c>
      <c r="E1730">
        <v>41.4</v>
      </c>
      <c r="F1730">
        <v>9</v>
      </c>
      <c r="G1730">
        <v>1</v>
      </c>
      <c r="H1730">
        <v>0</v>
      </c>
      <c r="I1730">
        <v>3</v>
      </c>
    </row>
    <row r="1731" spans="1:9" x14ac:dyDescent="0.25">
      <c r="A1731" s="18">
        <v>43370</v>
      </c>
      <c r="B1731">
        <v>4</v>
      </c>
      <c r="C1731">
        <v>6.5670000000000002</v>
      </c>
      <c r="D1731">
        <v>4.5999999999999996</v>
      </c>
      <c r="E1731">
        <v>19</v>
      </c>
      <c r="F1731">
        <v>11</v>
      </c>
      <c r="G1731">
        <v>0</v>
      </c>
      <c r="H1731">
        <v>7</v>
      </c>
      <c r="I1731">
        <v>3</v>
      </c>
    </row>
    <row r="1732" spans="1:9" x14ac:dyDescent="0.25">
      <c r="A1732" s="18">
        <v>43371</v>
      </c>
      <c r="B1732">
        <v>2</v>
      </c>
      <c r="C1732">
        <v>4.68</v>
      </c>
      <c r="D1732">
        <v>3.7</v>
      </c>
      <c r="E1732">
        <v>40.6</v>
      </c>
      <c r="F1732">
        <v>3</v>
      </c>
      <c r="G1732">
        <v>0</v>
      </c>
      <c r="H1732">
        <v>5</v>
      </c>
      <c r="I1732">
        <v>3</v>
      </c>
    </row>
    <row r="1733" spans="1:9" x14ac:dyDescent="0.25">
      <c r="A1733" s="18">
        <v>43372</v>
      </c>
      <c r="B1733">
        <v>3.5</v>
      </c>
      <c r="C1733">
        <v>5.33</v>
      </c>
      <c r="D1733">
        <v>2.15</v>
      </c>
      <c r="E1733">
        <v>57.7</v>
      </c>
      <c r="F1733">
        <v>4</v>
      </c>
      <c r="G1733">
        <v>0</v>
      </c>
      <c r="H1733">
        <v>21</v>
      </c>
      <c r="I1733">
        <v>1</v>
      </c>
    </row>
    <row r="1734" spans="1:9" x14ac:dyDescent="0.25">
      <c r="A1734" s="18">
        <v>43373</v>
      </c>
      <c r="B1734">
        <v>11.01</v>
      </c>
      <c r="C1734">
        <v>2.0099999999999998</v>
      </c>
      <c r="D1734">
        <v>2</v>
      </c>
      <c r="E1734">
        <v>54</v>
      </c>
      <c r="F1734">
        <v>9</v>
      </c>
      <c r="G1734">
        <v>1</v>
      </c>
      <c r="H1734">
        <v>3</v>
      </c>
      <c r="I1734">
        <v>3</v>
      </c>
    </row>
    <row r="1735" spans="1:9" x14ac:dyDescent="0.25">
      <c r="A1735" s="18">
        <v>43374</v>
      </c>
      <c r="B1735">
        <v>3</v>
      </c>
      <c r="C1735">
        <v>4.9320000000000004</v>
      </c>
      <c r="D1735">
        <v>1</v>
      </c>
      <c r="E1735">
        <v>53</v>
      </c>
      <c r="F1735">
        <v>10</v>
      </c>
      <c r="G1735">
        <v>0</v>
      </c>
      <c r="H1735">
        <v>21</v>
      </c>
      <c r="I1735">
        <v>3</v>
      </c>
    </row>
    <row r="1736" spans="1:9" x14ac:dyDescent="0.25">
      <c r="A1736" s="18">
        <v>43375</v>
      </c>
      <c r="B1736">
        <v>6</v>
      </c>
      <c r="C1736">
        <v>3.91</v>
      </c>
      <c r="D1736">
        <v>3.5</v>
      </c>
      <c r="E1736">
        <v>18.600000000000001</v>
      </c>
      <c r="F1736">
        <v>7</v>
      </c>
      <c r="G1736">
        <v>0</v>
      </c>
      <c r="H1736">
        <v>6</v>
      </c>
      <c r="I1736">
        <v>0</v>
      </c>
    </row>
    <row r="1737" spans="1:9" x14ac:dyDescent="0.25">
      <c r="A1737" s="18">
        <v>43376</v>
      </c>
      <c r="B1737">
        <v>6</v>
      </c>
      <c r="C1737">
        <v>3.33</v>
      </c>
      <c r="D1737">
        <v>3</v>
      </c>
      <c r="E1737">
        <v>34.9</v>
      </c>
      <c r="F1737">
        <v>12</v>
      </c>
      <c r="G1737">
        <v>2</v>
      </c>
      <c r="H1737">
        <v>5</v>
      </c>
      <c r="I1737">
        <v>4</v>
      </c>
    </row>
    <row r="1738" spans="1:9" x14ac:dyDescent="0.25">
      <c r="A1738" s="18">
        <v>43377</v>
      </c>
      <c r="B1738">
        <v>6</v>
      </c>
      <c r="C1738">
        <v>3.36</v>
      </c>
      <c r="D1738">
        <v>2</v>
      </c>
      <c r="E1738">
        <v>32</v>
      </c>
      <c r="F1738">
        <v>12</v>
      </c>
      <c r="G1738">
        <v>1</v>
      </c>
      <c r="H1738">
        <v>5</v>
      </c>
      <c r="I1738">
        <v>0</v>
      </c>
    </row>
    <row r="1739" spans="1:9" x14ac:dyDescent="0.25">
      <c r="A1739" s="18">
        <v>43378</v>
      </c>
      <c r="B1739">
        <v>4.84</v>
      </c>
      <c r="C1739">
        <v>3.3969999999999998</v>
      </c>
      <c r="D1739">
        <v>1.1000000000000001</v>
      </c>
      <c r="E1739">
        <v>22.8</v>
      </c>
      <c r="F1739">
        <v>7</v>
      </c>
      <c r="G1739">
        <v>0</v>
      </c>
      <c r="H1739">
        <v>14</v>
      </c>
      <c r="I1739">
        <v>1</v>
      </c>
    </row>
    <row r="1740" spans="1:9" x14ac:dyDescent="0.25">
      <c r="A1740" s="18">
        <v>43379</v>
      </c>
      <c r="B1740">
        <v>2</v>
      </c>
      <c r="C1740">
        <v>5.36</v>
      </c>
      <c r="D1740">
        <v>3.2</v>
      </c>
      <c r="E1740">
        <v>59.25</v>
      </c>
      <c r="F1740">
        <v>4</v>
      </c>
      <c r="G1740">
        <v>0</v>
      </c>
      <c r="H1740">
        <v>3</v>
      </c>
      <c r="I1740">
        <v>0.1</v>
      </c>
    </row>
    <row r="1741" spans="1:9" x14ac:dyDescent="0.25">
      <c r="A1741" s="18">
        <v>43380</v>
      </c>
      <c r="B1741">
        <v>2.68</v>
      </c>
      <c r="C1741">
        <v>7.35</v>
      </c>
      <c r="D1741">
        <v>2</v>
      </c>
      <c r="E1741">
        <v>42.4</v>
      </c>
      <c r="F1741">
        <v>8</v>
      </c>
      <c r="G1741">
        <v>0</v>
      </c>
      <c r="H1741">
        <v>9</v>
      </c>
      <c r="I1741">
        <v>1</v>
      </c>
    </row>
    <row r="1742" spans="1:9" x14ac:dyDescent="0.25">
      <c r="A1742" s="18">
        <v>43381</v>
      </c>
      <c r="B1742">
        <v>4</v>
      </c>
      <c r="C1742">
        <v>1.68</v>
      </c>
      <c r="D1742">
        <v>3</v>
      </c>
      <c r="E1742">
        <v>30</v>
      </c>
      <c r="F1742">
        <v>18</v>
      </c>
      <c r="G1742">
        <v>5</v>
      </c>
      <c r="H1742">
        <v>0</v>
      </c>
      <c r="I1742">
        <v>3</v>
      </c>
    </row>
    <row r="1743" spans="1:9" x14ac:dyDescent="0.25">
      <c r="A1743" s="18">
        <v>43382</v>
      </c>
      <c r="B1743">
        <v>2</v>
      </c>
      <c r="C1743">
        <v>1.67</v>
      </c>
      <c r="D1743">
        <v>1</v>
      </c>
      <c r="E1743">
        <v>30</v>
      </c>
      <c r="F1743">
        <v>18</v>
      </c>
      <c r="G1743">
        <v>0</v>
      </c>
      <c r="H1743">
        <v>29</v>
      </c>
      <c r="I1743">
        <v>1</v>
      </c>
    </row>
    <row r="1744" spans="1:9" x14ac:dyDescent="0.25">
      <c r="A1744" s="18">
        <v>43383</v>
      </c>
      <c r="B1744">
        <v>9</v>
      </c>
      <c r="C1744">
        <v>8.01</v>
      </c>
      <c r="D1744">
        <v>4.0999999999999996</v>
      </c>
      <c r="E1744">
        <v>41.2</v>
      </c>
      <c r="F1744">
        <v>13</v>
      </c>
      <c r="G1744">
        <v>0</v>
      </c>
      <c r="H1744">
        <v>20</v>
      </c>
      <c r="I1744">
        <v>2</v>
      </c>
    </row>
    <row r="1745" spans="1:9" x14ac:dyDescent="0.25">
      <c r="A1745" s="18">
        <v>43384</v>
      </c>
      <c r="B1745">
        <v>2</v>
      </c>
      <c r="C1745">
        <v>2.33</v>
      </c>
      <c r="D1745">
        <v>2.1</v>
      </c>
      <c r="E1745">
        <v>31</v>
      </c>
      <c r="F1745">
        <v>15</v>
      </c>
      <c r="G1745">
        <v>0</v>
      </c>
      <c r="H1745">
        <v>0</v>
      </c>
      <c r="I1745">
        <v>1</v>
      </c>
    </row>
    <row r="1746" spans="1:9" x14ac:dyDescent="0.25">
      <c r="A1746" s="18">
        <v>43385</v>
      </c>
      <c r="B1746">
        <v>6.33</v>
      </c>
      <c r="C1746">
        <v>4.3630000000000004</v>
      </c>
      <c r="D1746">
        <v>1</v>
      </c>
      <c r="E1746">
        <v>26</v>
      </c>
      <c r="F1746">
        <v>6</v>
      </c>
      <c r="G1746">
        <v>0</v>
      </c>
      <c r="H1746">
        <v>1</v>
      </c>
      <c r="I1746">
        <v>6</v>
      </c>
    </row>
    <row r="1747" spans="1:9" x14ac:dyDescent="0.25">
      <c r="A1747" s="18">
        <v>43386</v>
      </c>
      <c r="B1747">
        <v>6.99</v>
      </c>
      <c r="C1747">
        <v>4.5069999999999997</v>
      </c>
      <c r="D1747">
        <v>3.25</v>
      </c>
      <c r="E1747">
        <v>29.6</v>
      </c>
      <c r="F1747">
        <v>8</v>
      </c>
      <c r="G1747">
        <v>0</v>
      </c>
      <c r="H1747">
        <v>6</v>
      </c>
      <c r="I1747">
        <v>3</v>
      </c>
    </row>
    <row r="1748" spans="1:9" x14ac:dyDescent="0.25">
      <c r="A1748" s="18">
        <v>43387</v>
      </c>
      <c r="B1748">
        <v>2.34</v>
      </c>
      <c r="C1748">
        <v>6.01</v>
      </c>
      <c r="D1748">
        <v>6.2</v>
      </c>
      <c r="E1748">
        <v>51.7</v>
      </c>
      <c r="F1748">
        <v>9</v>
      </c>
      <c r="G1748">
        <v>2</v>
      </c>
      <c r="H1748">
        <v>0</v>
      </c>
      <c r="I1748">
        <v>6</v>
      </c>
    </row>
    <row r="1749" spans="1:9" x14ac:dyDescent="0.25">
      <c r="A1749" s="18">
        <v>43388</v>
      </c>
      <c r="B1749">
        <v>7.17</v>
      </c>
      <c r="C1749">
        <v>6.6000000000000003E-2</v>
      </c>
      <c r="D1749">
        <v>3</v>
      </c>
      <c r="E1749">
        <v>47.6</v>
      </c>
      <c r="F1749">
        <v>12</v>
      </c>
      <c r="G1749">
        <v>0</v>
      </c>
      <c r="H1749">
        <v>5</v>
      </c>
      <c r="I1749">
        <v>6</v>
      </c>
    </row>
    <row r="1750" spans="1:9" x14ac:dyDescent="0.25">
      <c r="A1750" s="18">
        <v>43389</v>
      </c>
      <c r="B1750">
        <v>6</v>
      </c>
      <c r="C1750">
        <v>5.3220000000000001</v>
      </c>
      <c r="D1750">
        <v>2</v>
      </c>
      <c r="E1750">
        <v>27.3</v>
      </c>
      <c r="F1750">
        <v>5</v>
      </c>
      <c r="G1750">
        <v>3</v>
      </c>
      <c r="H1750">
        <v>6</v>
      </c>
      <c r="I1750">
        <v>0</v>
      </c>
    </row>
    <row r="1751" spans="1:9" x14ac:dyDescent="0.25">
      <c r="A1751" s="18">
        <v>43390</v>
      </c>
      <c r="B1751">
        <v>2.33</v>
      </c>
      <c r="C1751">
        <v>6</v>
      </c>
      <c r="D1751">
        <v>4</v>
      </c>
      <c r="E1751">
        <v>52.2</v>
      </c>
      <c r="F1751">
        <v>5</v>
      </c>
      <c r="G1751">
        <v>0</v>
      </c>
      <c r="H1751">
        <v>1</v>
      </c>
      <c r="I1751">
        <v>4</v>
      </c>
    </row>
    <row r="1752" spans="1:9" x14ac:dyDescent="0.25">
      <c r="A1752" s="18">
        <v>43391</v>
      </c>
      <c r="B1752">
        <v>4.34</v>
      </c>
      <c r="C1752">
        <v>3</v>
      </c>
      <c r="D1752">
        <v>1.1000000000000001</v>
      </c>
      <c r="E1752">
        <v>14</v>
      </c>
      <c r="F1752">
        <v>9</v>
      </c>
      <c r="G1752">
        <v>1</v>
      </c>
      <c r="H1752">
        <v>10</v>
      </c>
      <c r="I1752">
        <v>5</v>
      </c>
    </row>
    <row r="1753" spans="1:9" x14ac:dyDescent="0.25">
      <c r="A1753" s="18">
        <v>43392</v>
      </c>
      <c r="B1753">
        <v>4</v>
      </c>
      <c r="C1753">
        <v>2.0659999999999998</v>
      </c>
      <c r="D1753">
        <v>0</v>
      </c>
      <c r="E1753">
        <v>10.6</v>
      </c>
      <c r="F1753">
        <v>5</v>
      </c>
      <c r="G1753">
        <v>2</v>
      </c>
      <c r="H1753">
        <v>6</v>
      </c>
      <c r="I1753">
        <v>4</v>
      </c>
    </row>
    <row r="1754" spans="1:9" x14ac:dyDescent="0.25">
      <c r="A1754" s="18">
        <v>43393</v>
      </c>
      <c r="B1754">
        <v>2.34</v>
      </c>
      <c r="C1754">
        <v>2.02</v>
      </c>
      <c r="D1754">
        <v>2</v>
      </c>
      <c r="E1754">
        <v>33</v>
      </c>
      <c r="F1754">
        <v>9</v>
      </c>
      <c r="G1754">
        <v>0</v>
      </c>
      <c r="H1754">
        <v>34</v>
      </c>
      <c r="I1754">
        <v>5</v>
      </c>
    </row>
    <row r="1755" spans="1:9" x14ac:dyDescent="0.25">
      <c r="A1755" s="18">
        <v>43394</v>
      </c>
      <c r="B1755">
        <v>6.67</v>
      </c>
      <c r="C1755">
        <v>8.69</v>
      </c>
      <c r="D1755">
        <v>1</v>
      </c>
      <c r="E1755">
        <v>56.3</v>
      </c>
      <c r="F1755">
        <v>5</v>
      </c>
      <c r="G1755">
        <v>3</v>
      </c>
      <c r="H1755">
        <v>5</v>
      </c>
      <c r="I1755">
        <v>1</v>
      </c>
    </row>
    <row r="1756" spans="1:9" x14ac:dyDescent="0.25">
      <c r="A1756" s="18">
        <v>43395</v>
      </c>
      <c r="B1756">
        <v>2.66</v>
      </c>
      <c r="C1756">
        <v>7.01</v>
      </c>
      <c r="D1756">
        <v>3.3</v>
      </c>
      <c r="E1756">
        <v>18.8</v>
      </c>
      <c r="F1756">
        <v>8</v>
      </c>
      <c r="G1756">
        <v>0</v>
      </c>
      <c r="H1756">
        <v>28</v>
      </c>
      <c r="I1756">
        <v>1.3</v>
      </c>
    </row>
    <row r="1757" spans="1:9" x14ac:dyDescent="0.25">
      <c r="A1757" s="18">
        <v>43396</v>
      </c>
      <c r="B1757">
        <v>2.34</v>
      </c>
      <c r="C1757">
        <v>2</v>
      </c>
      <c r="D1757">
        <v>0.45</v>
      </c>
      <c r="E1757">
        <v>44.8</v>
      </c>
      <c r="F1757">
        <v>9</v>
      </c>
      <c r="G1757">
        <v>1</v>
      </c>
      <c r="H1757">
        <v>11</v>
      </c>
      <c r="I1757">
        <v>3</v>
      </c>
    </row>
    <row r="1758" spans="1:9" x14ac:dyDescent="0.25">
      <c r="A1758" s="18">
        <v>43397</v>
      </c>
      <c r="B1758">
        <v>4</v>
      </c>
      <c r="C1758">
        <v>2.109</v>
      </c>
      <c r="D1758">
        <v>5</v>
      </c>
      <c r="E1758">
        <v>37.200000000000003</v>
      </c>
      <c r="F1758">
        <v>7</v>
      </c>
      <c r="G1758">
        <v>0</v>
      </c>
      <c r="H1758">
        <v>10</v>
      </c>
      <c r="I1758">
        <v>1.5</v>
      </c>
    </row>
    <row r="1759" spans="1:9" x14ac:dyDescent="0.25">
      <c r="A1759" s="18">
        <v>43398</v>
      </c>
      <c r="B1759">
        <v>5.33</v>
      </c>
      <c r="C1759">
        <v>5.4290000000000003</v>
      </c>
      <c r="D1759">
        <v>3</v>
      </c>
      <c r="E1759">
        <v>52.2</v>
      </c>
      <c r="F1759">
        <v>12</v>
      </c>
      <c r="G1759">
        <v>0</v>
      </c>
      <c r="H1759">
        <v>33</v>
      </c>
      <c r="I1759">
        <v>3</v>
      </c>
    </row>
    <row r="1760" spans="1:9" x14ac:dyDescent="0.25">
      <c r="A1760" s="18">
        <v>43399</v>
      </c>
      <c r="B1760">
        <v>4</v>
      </c>
      <c r="C1760">
        <v>5.3730000000000002</v>
      </c>
      <c r="D1760">
        <v>4.5999999999999996</v>
      </c>
      <c r="E1760">
        <v>44</v>
      </c>
      <c r="F1760">
        <v>14</v>
      </c>
      <c r="G1760">
        <v>1</v>
      </c>
      <c r="H1760">
        <v>14</v>
      </c>
      <c r="I1760">
        <v>1</v>
      </c>
    </row>
    <row r="1761" spans="1:9" x14ac:dyDescent="0.25">
      <c r="A1761" s="18">
        <v>43400</v>
      </c>
      <c r="B1761">
        <v>8.34</v>
      </c>
      <c r="C1761">
        <v>3.4260000000000002</v>
      </c>
      <c r="D1761">
        <v>2.2000000000000002</v>
      </c>
      <c r="E1761">
        <v>49.975000000000001</v>
      </c>
      <c r="F1761">
        <v>12</v>
      </c>
      <c r="G1761">
        <v>1</v>
      </c>
      <c r="H1761">
        <v>7</v>
      </c>
      <c r="I1761">
        <v>2</v>
      </c>
    </row>
    <row r="1762" spans="1:9" x14ac:dyDescent="0.25">
      <c r="A1762" s="18">
        <v>43401</v>
      </c>
      <c r="B1762">
        <v>5.33</v>
      </c>
      <c r="C1762">
        <v>5.33</v>
      </c>
      <c r="D1762">
        <v>1.6</v>
      </c>
      <c r="E1762">
        <v>53.75</v>
      </c>
      <c r="F1762">
        <v>9</v>
      </c>
      <c r="G1762">
        <v>3</v>
      </c>
      <c r="H1762">
        <v>13</v>
      </c>
      <c r="I1762">
        <v>3</v>
      </c>
    </row>
    <row r="1763" spans="1:9" x14ac:dyDescent="0.25">
      <c r="A1763" s="18">
        <v>43402</v>
      </c>
      <c r="B1763">
        <v>5.35</v>
      </c>
      <c r="C1763">
        <v>2.67</v>
      </c>
      <c r="D1763">
        <v>2.35</v>
      </c>
      <c r="E1763">
        <v>32.799999999999997</v>
      </c>
      <c r="F1763">
        <v>5</v>
      </c>
      <c r="G1763">
        <v>0</v>
      </c>
      <c r="H1763">
        <v>10</v>
      </c>
      <c r="I1763">
        <v>3</v>
      </c>
    </row>
    <row r="1764" spans="1:9" x14ac:dyDescent="0.25">
      <c r="A1764" s="18">
        <v>43403</v>
      </c>
      <c r="B1764">
        <v>9.33</v>
      </c>
      <c r="C1764">
        <v>4</v>
      </c>
      <c r="D1764">
        <v>1</v>
      </c>
      <c r="E1764">
        <v>18.2</v>
      </c>
      <c r="F1764">
        <v>7</v>
      </c>
      <c r="G1764">
        <v>0</v>
      </c>
      <c r="H1764">
        <v>13</v>
      </c>
      <c r="I1764">
        <v>1</v>
      </c>
    </row>
    <row r="1765" spans="1:9" x14ac:dyDescent="0.25">
      <c r="A1765" s="18">
        <v>43404</v>
      </c>
      <c r="B1765">
        <v>2</v>
      </c>
      <c r="C1765">
        <v>4.68</v>
      </c>
      <c r="D1765">
        <v>3</v>
      </c>
      <c r="E1765">
        <v>34.1</v>
      </c>
      <c r="F1765">
        <v>7</v>
      </c>
      <c r="G1765">
        <v>0</v>
      </c>
      <c r="H1765">
        <v>2</v>
      </c>
      <c r="I1765">
        <v>2</v>
      </c>
    </row>
    <row r="1766" spans="1:9" x14ac:dyDescent="0.25">
      <c r="A1766" s="18">
        <v>43405</v>
      </c>
      <c r="B1766">
        <v>7.84</v>
      </c>
      <c r="C1766">
        <v>0.34</v>
      </c>
      <c r="D1766">
        <v>3</v>
      </c>
      <c r="E1766">
        <v>25</v>
      </c>
      <c r="F1766">
        <v>6</v>
      </c>
      <c r="G1766">
        <v>3</v>
      </c>
      <c r="H1766">
        <v>7</v>
      </c>
      <c r="I1766">
        <v>0</v>
      </c>
    </row>
    <row r="1767" spans="1:9" x14ac:dyDescent="0.25">
      <c r="A1767" s="18">
        <v>43406</v>
      </c>
      <c r="B1767">
        <v>5.14</v>
      </c>
      <c r="C1767">
        <v>1.845</v>
      </c>
      <c r="D1767">
        <v>0</v>
      </c>
      <c r="E1767">
        <v>32.6</v>
      </c>
      <c r="F1767">
        <v>8.1999999999999993</v>
      </c>
      <c r="G1767">
        <v>0</v>
      </c>
      <c r="H1767">
        <v>1</v>
      </c>
      <c r="I1767">
        <v>3.3</v>
      </c>
    </row>
    <row r="1768" spans="1:9" x14ac:dyDescent="0.25">
      <c r="A1768" s="18">
        <v>43407</v>
      </c>
      <c r="B1768">
        <v>3</v>
      </c>
      <c r="C1768">
        <v>3</v>
      </c>
      <c r="D1768">
        <v>6.2</v>
      </c>
      <c r="E1768">
        <v>45.4</v>
      </c>
      <c r="F1768">
        <v>2</v>
      </c>
      <c r="G1768">
        <v>0</v>
      </c>
      <c r="H1768">
        <v>0</v>
      </c>
      <c r="I1768">
        <v>2</v>
      </c>
    </row>
    <row r="1769" spans="1:9" x14ac:dyDescent="0.25">
      <c r="A1769" s="18">
        <v>43408</v>
      </c>
      <c r="B1769">
        <v>13.99</v>
      </c>
      <c r="C1769">
        <v>4.8959999999999999</v>
      </c>
      <c r="D1769">
        <v>0</v>
      </c>
      <c r="E1769">
        <v>52</v>
      </c>
      <c r="F1769">
        <v>7</v>
      </c>
      <c r="G1769">
        <v>0</v>
      </c>
      <c r="H1769">
        <v>13</v>
      </c>
      <c r="I1769">
        <v>1</v>
      </c>
    </row>
    <row r="1770" spans="1:9" x14ac:dyDescent="0.25">
      <c r="A1770" s="18">
        <v>43409</v>
      </c>
      <c r="B1770">
        <v>6.33</v>
      </c>
      <c r="C1770">
        <v>2.34</v>
      </c>
      <c r="D1770">
        <v>6</v>
      </c>
      <c r="E1770">
        <v>29</v>
      </c>
      <c r="F1770">
        <v>14</v>
      </c>
      <c r="G1770">
        <v>0</v>
      </c>
      <c r="H1770">
        <v>13</v>
      </c>
      <c r="I1770">
        <v>2.2999999999999998</v>
      </c>
    </row>
    <row r="1771" spans="1:9" x14ac:dyDescent="0.25">
      <c r="A1771" s="18">
        <v>43410</v>
      </c>
      <c r="B1771">
        <v>3.33</v>
      </c>
      <c r="C1771">
        <v>6.68</v>
      </c>
      <c r="D1771">
        <v>10.55</v>
      </c>
      <c r="E1771">
        <v>37.700000000000003</v>
      </c>
      <c r="F1771">
        <v>8</v>
      </c>
      <c r="G1771">
        <v>0</v>
      </c>
      <c r="H1771">
        <v>13</v>
      </c>
      <c r="I1771">
        <v>2.5</v>
      </c>
    </row>
    <row r="1772" spans="1:9" x14ac:dyDescent="0.25">
      <c r="A1772" s="18">
        <v>43411</v>
      </c>
      <c r="B1772">
        <v>7</v>
      </c>
      <c r="C1772">
        <v>1.863</v>
      </c>
      <c r="D1772">
        <v>3</v>
      </c>
      <c r="E1772">
        <v>38.9</v>
      </c>
      <c r="F1772">
        <v>15</v>
      </c>
      <c r="G1772">
        <v>3</v>
      </c>
      <c r="H1772">
        <v>8</v>
      </c>
      <c r="I1772">
        <v>0</v>
      </c>
    </row>
    <row r="1773" spans="1:9" x14ac:dyDescent="0.25">
      <c r="A1773" s="18">
        <v>43412</v>
      </c>
      <c r="B1773">
        <v>3</v>
      </c>
      <c r="C1773">
        <v>1.573</v>
      </c>
      <c r="D1773">
        <v>6</v>
      </c>
      <c r="E1773">
        <v>38</v>
      </c>
      <c r="F1773">
        <v>5</v>
      </c>
      <c r="G1773">
        <v>0</v>
      </c>
      <c r="H1773">
        <v>16</v>
      </c>
      <c r="I1773">
        <v>2</v>
      </c>
    </row>
    <row r="1774" spans="1:9" x14ac:dyDescent="0.25">
      <c r="A1774" s="18">
        <v>43413</v>
      </c>
      <c r="B1774">
        <v>5</v>
      </c>
      <c r="C1774">
        <v>0.67</v>
      </c>
      <c r="D1774">
        <v>5</v>
      </c>
      <c r="E1774">
        <v>43</v>
      </c>
      <c r="F1774">
        <v>7</v>
      </c>
      <c r="G1774">
        <v>1</v>
      </c>
      <c r="H1774">
        <v>22</v>
      </c>
      <c r="I1774">
        <v>0</v>
      </c>
    </row>
    <row r="1775" spans="1:9" x14ac:dyDescent="0.25">
      <c r="A1775" s="18">
        <v>43414</v>
      </c>
      <c r="B1775">
        <v>4.33</v>
      </c>
      <c r="C1775">
        <v>2.4169999999999998</v>
      </c>
      <c r="D1775">
        <v>2</v>
      </c>
      <c r="E1775">
        <v>35.6</v>
      </c>
      <c r="F1775">
        <v>7</v>
      </c>
      <c r="G1775">
        <v>1</v>
      </c>
      <c r="H1775">
        <v>11</v>
      </c>
      <c r="I1775">
        <v>1.1000000000000001</v>
      </c>
    </row>
    <row r="1776" spans="1:9" x14ac:dyDescent="0.25">
      <c r="A1776" s="18">
        <v>43415</v>
      </c>
      <c r="B1776">
        <v>11</v>
      </c>
      <c r="C1776">
        <v>4.2460000000000004</v>
      </c>
      <c r="D1776">
        <v>2</v>
      </c>
      <c r="E1776">
        <v>33.65</v>
      </c>
      <c r="F1776">
        <v>14</v>
      </c>
      <c r="G1776">
        <v>0</v>
      </c>
      <c r="H1776">
        <v>10</v>
      </c>
      <c r="I1776">
        <v>1</v>
      </c>
    </row>
    <row r="1777" spans="1:9" x14ac:dyDescent="0.25">
      <c r="A1777" s="18">
        <v>43416</v>
      </c>
      <c r="B1777">
        <v>2.34</v>
      </c>
      <c r="C1777">
        <v>2.33</v>
      </c>
      <c r="D1777">
        <v>7</v>
      </c>
      <c r="E1777">
        <v>35</v>
      </c>
      <c r="F1777">
        <v>15</v>
      </c>
      <c r="G1777">
        <v>2</v>
      </c>
      <c r="H1777">
        <v>24</v>
      </c>
      <c r="I1777">
        <v>1</v>
      </c>
    </row>
    <row r="1778" spans="1:9" x14ac:dyDescent="0.25">
      <c r="A1778" s="18">
        <v>43417</v>
      </c>
      <c r="B1778">
        <v>6.33</v>
      </c>
      <c r="C1778">
        <v>5.35</v>
      </c>
      <c r="D1778">
        <v>6</v>
      </c>
      <c r="E1778">
        <v>29.7</v>
      </c>
      <c r="F1778">
        <v>18</v>
      </c>
      <c r="G1778">
        <v>0</v>
      </c>
      <c r="H1778">
        <v>18</v>
      </c>
      <c r="I1778">
        <v>3</v>
      </c>
    </row>
    <row r="1779" spans="1:9" x14ac:dyDescent="0.25">
      <c r="A1779" s="18">
        <v>43418</v>
      </c>
      <c r="B1779">
        <v>5.66</v>
      </c>
      <c r="C1779">
        <v>4.67</v>
      </c>
      <c r="D1779">
        <v>3</v>
      </c>
      <c r="E1779">
        <v>28.4</v>
      </c>
      <c r="F1779">
        <v>9</v>
      </c>
      <c r="G1779">
        <v>0</v>
      </c>
      <c r="H1779">
        <v>0</v>
      </c>
      <c r="I1779">
        <v>0</v>
      </c>
    </row>
    <row r="1780" spans="1:9" x14ac:dyDescent="0.25">
      <c r="A1780" s="18">
        <v>43419</v>
      </c>
      <c r="B1780">
        <v>2</v>
      </c>
      <c r="C1780">
        <v>4.0830000000000002</v>
      </c>
      <c r="D1780">
        <v>2</v>
      </c>
      <c r="E1780">
        <v>49.6</v>
      </c>
      <c r="F1780">
        <v>3</v>
      </c>
      <c r="G1780">
        <v>2</v>
      </c>
      <c r="H1780">
        <v>29</v>
      </c>
      <c r="I1780">
        <v>0</v>
      </c>
    </row>
    <row r="1781" spans="1:9" x14ac:dyDescent="0.25">
      <c r="A1781" s="18">
        <v>43420</v>
      </c>
      <c r="B1781">
        <v>8.33</v>
      </c>
      <c r="C1781">
        <v>2.66</v>
      </c>
      <c r="D1781">
        <v>4</v>
      </c>
      <c r="E1781">
        <v>21.5</v>
      </c>
      <c r="F1781">
        <v>6</v>
      </c>
      <c r="G1781">
        <v>0</v>
      </c>
      <c r="H1781">
        <v>6</v>
      </c>
      <c r="I1781">
        <v>0.4</v>
      </c>
    </row>
    <row r="1782" spans="1:9" x14ac:dyDescent="0.25">
      <c r="A1782" s="18">
        <v>43421</v>
      </c>
      <c r="B1782">
        <v>8</v>
      </c>
      <c r="C1782">
        <v>2.34</v>
      </c>
      <c r="D1782">
        <v>1</v>
      </c>
      <c r="E1782">
        <v>39</v>
      </c>
      <c r="F1782">
        <v>5</v>
      </c>
      <c r="G1782">
        <v>0</v>
      </c>
      <c r="H1782">
        <v>13</v>
      </c>
      <c r="I1782">
        <v>2</v>
      </c>
    </row>
    <row r="1783" spans="1:9" x14ac:dyDescent="0.25">
      <c r="A1783" s="18">
        <v>43422</v>
      </c>
      <c r="B1783">
        <v>4.68</v>
      </c>
      <c r="C1783">
        <v>4.68</v>
      </c>
      <c r="D1783">
        <v>5</v>
      </c>
      <c r="E1783">
        <v>32.9</v>
      </c>
      <c r="F1783">
        <v>7</v>
      </c>
      <c r="G1783">
        <v>1</v>
      </c>
      <c r="H1783">
        <v>10</v>
      </c>
      <c r="I1783">
        <v>1</v>
      </c>
    </row>
    <row r="1784" spans="1:9" x14ac:dyDescent="0.25">
      <c r="A1784" s="18">
        <v>43423</v>
      </c>
      <c r="B1784">
        <v>6.01</v>
      </c>
      <c r="C1784">
        <v>2.44</v>
      </c>
      <c r="D1784">
        <v>2</v>
      </c>
      <c r="E1784">
        <v>47.2</v>
      </c>
      <c r="F1784">
        <v>6</v>
      </c>
      <c r="G1784">
        <v>3</v>
      </c>
      <c r="H1784">
        <v>3</v>
      </c>
      <c r="I1784">
        <v>0</v>
      </c>
    </row>
    <row r="1785" spans="1:9" x14ac:dyDescent="0.25">
      <c r="A1785" s="18">
        <v>43424</v>
      </c>
      <c r="B1785">
        <v>5.33</v>
      </c>
      <c r="C1785">
        <v>3.8029999999999999</v>
      </c>
      <c r="D1785">
        <v>4</v>
      </c>
      <c r="E1785">
        <v>31.5</v>
      </c>
      <c r="F1785">
        <v>4</v>
      </c>
      <c r="G1785">
        <v>1</v>
      </c>
      <c r="H1785">
        <v>10</v>
      </c>
      <c r="I1785">
        <v>3</v>
      </c>
    </row>
    <row r="1786" spans="1:9" x14ac:dyDescent="0.25">
      <c r="A1786" s="18">
        <v>43425</v>
      </c>
      <c r="B1786">
        <v>7</v>
      </c>
      <c r="C1786">
        <v>2.34</v>
      </c>
      <c r="D1786">
        <v>3.25</v>
      </c>
      <c r="E1786">
        <v>22</v>
      </c>
      <c r="F1786">
        <v>5</v>
      </c>
      <c r="G1786">
        <v>0</v>
      </c>
      <c r="H1786">
        <v>5</v>
      </c>
      <c r="I1786">
        <v>1</v>
      </c>
    </row>
    <row r="1787" spans="1:9" x14ac:dyDescent="0.25">
      <c r="A1787" s="18">
        <v>43426</v>
      </c>
      <c r="B1787">
        <v>8</v>
      </c>
      <c r="C1787">
        <v>7.0659999999999998</v>
      </c>
      <c r="D1787">
        <v>3</v>
      </c>
      <c r="E1787">
        <v>22.4</v>
      </c>
      <c r="F1787">
        <v>9</v>
      </c>
      <c r="G1787">
        <v>0</v>
      </c>
      <c r="H1787">
        <v>15</v>
      </c>
      <c r="I1787">
        <v>2</v>
      </c>
    </row>
    <row r="1788" spans="1:9" x14ac:dyDescent="0.25">
      <c r="A1788" s="18">
        <v>43427</v>
      </c>
      <c r="B1788">
        <v>6</v>
      </c>
      <c r="C1788">
        <v>4.4720000000000004</v>
      </c>
      <c r="D1788">
        <v>3</v>
      </c>
      <c r="E1788">
        <v>29.6</v>
      </c>
      <c r="F1788">
        <v>13</v>
      </c>
      <c r="G1788">
        <v>1</v>
      </c>
      <c r="H1788">
        <v>24</v>
      </c>
      <c r="I1788">
        <v>3</v>
      </c>
    </row>
    <row r="1789" spans="1:9" x14ac:dyDescent="0.25">
      <c r="A1789" s="18">
        <v>43428</v>
      </c>
      <c r="B1789">
        <v>5.66</v>
      </c>
      <c r="C1789">
        <v>5.78</v>
      </c>
      <c r="D1789">
        <v>5</v>
      </c>
      <c r="E1789">
        <v>29.2</v>
      </c>
      <c r="F1789">
        <v>11</v>
      </c>
      <c r="G1789">
        <v>0</v>
      </c>
      <c r="H1789">
        <v>7</v>
      </c>
      <c r="I1789">
        <v>0.3</v>
      </c>
    </row>
    <row r="1790" spans="1:9" x14ac:dyDescent="0.25">
      <c r="A1790" s="18">
        <v>43429</v>
      </c>
      <c r="B1790">
        <v>5.33</v>
      </c>
      <c r="C1790">
        <v>3.593</v>
      </c>
      <c r="D1790">
        <v>3.15</v>
      </c>
      <c r="E1790">
        <v>19.100000000000001</v>
      </c>
      <c r="F1790">
        <v>6</v>
      </c>
      <c r="G1790">
        <v>1</v>
      </c>
      <c r="H1790">
        <v>3</v>
      </c>
      <c r="I1790">
        <v>2</v>
      </c>
    </row>
    <row r="1791" spans="1:9" x14ac:dyDescent="0.25">
      <c r="A1791" s="18">
        <v>43430</v>
      </c>
      <c r="B1791">
        <v>5.33</v>
      </c>
      <c r="C1791">
        <v>2.34</v>
      </c>
      <c r="D1791">
        <v>2</v>
      </c>
      <c r="E1791">
        <v>36.299999999999997</v>
      </c>
      <c r="F1791">
        <v>15</v>
      </c>
      <c r="G1791">
        <v>1</v>
      </c>
      <c r="H1791">
        <v>16</v>
      </c>
      <c r="I1791">
        <v>3</v>
      </c>
    </row>
    <row r="1792" spans="1:9" x14ac:dyDescent="0.25">
      <c r="A1792" s="18">
        <v>43431</v>
      </c>
      <c r="B1792">
        <v>8</v>
      </c>
      <c r="C1792">
        <v>4.67</v>
      </c>
      <c r="D1792">
        <v>2</v>
      </c>
      <c r="E1792">
        <v>41.5</v>
      </c>
      <c r="F1792">
        <v>2</v>
      </c>
      <c r="G1792">
        <v>0</v>
      </c>
      <c r="H1792">
        <v>5</v>
      </c>
      <c r="I1792">
        <v>2</v>
      </c>
    </row>
    <row r="1793" spans="1:9" x14ac:dyDescent="0.25">
      <c r="A1793" s="18">
        <v>43432</v>
      </c>
      <c r="B1793">
        <v>3</v>
      </c>
      <c r="C1793">
        <v>5.67</v>
      </c>
      <c r="D1793">
        <v>1</v>
      </c>
      <c r="E1793">
        <v>24.4</v>
      </c>
      <c r="F1793">
        <v>15</v>
      </c>
      <c r="G1793">
        <v>2</v>
      </c>
      <c r="H1793">
        <v>8</v>
      </c>
      <c r="I1793">
        <v>4</v>
      </c>
    </row>
    <row r="1794" spans="1:9" x14ac:dyDescent="0.25">
      <c r="A1794" s="18">
        <v>43433</v>
      </c>
      <c r="B1794">
        <v>4.33</v>
      </c>
      <c r="C1794">
        <v>4.32</v>
      </c>
      <c r="D1794">
        <v>1</v>
      </c>
      <c r="E1794">
        <v>22.6</v>
      </c>
      <c r="F1794">
        <v>7</v>
      </c>
      <c r="G1794">
        <v>0</v>
      </c>
      <c r="H1794">
        <v>1</v>
      </c>
      <c r="I1794">
        <v>3</v>
      </c>
    </row>
    <row r="1795" spans="1:9" x14ac:dyDescent="0.25">
      <c r="A1795" s="18">
        <v>43434</v>
      </c>
      <c r="B1795">
        <v>1</v>
      </c>
      <c r="C1795">
        <v>3.01</v>
      </c>
      <c r="D1795">
        <v>1</v>
      </c>
      <c r="E1795">
        <v>22.4</v>
      </c>
      <c r="F1795">
        <v>3</v>
      </c>
      <c r="G1795">
        <v>0</v>
      </c>
      <c r="H1795">
        <v>0</v>
      </c>
      <c r="I1795">
        <v>2.5</v>
      </c>
    </row>
    <row r="1796" spans="1:9" x14ac:dyDescent="0.25">
      <c r="A1796" s="18">
        <v>43435</v>
      </c>
      <c r="B1796">
        <v>7</v>
      </c>
      <c r="C1796">
        <v>8.7789999999999999</v>
      </c>
      <c r="D1796">
        <v>2.0499999999999998</v>
      </c>
      <c r="E1796">
        <v>41</v>
      </c>
      <c r="F1796">
        <v>7</v>
      </c>
      <c r="G1796">
        <v>3</v>
      </c>
      <c r="H1796">
        <v>13</v>
      </c>
      <c r="I1796">
        <v>2</v>
      </c>
    </row>
    <row r="1797" spans="1:9" x14ac:dyDescent="0.25">
      <c r="A1797" s="18">
        <v>43436</v>
      </c>
      <c r="B1797">
        <v>3.17</v>
      </c>
      <c r="C1797">
        <v>5.7789999999999999</v>
      </c>
      <c r="D1797">
        <v>10</v>
      </c>
      <c r="E1797">
        <v>65.7</v>
      </c>
      <c r="F1797">
        <v>6</v>
      </c>
      <c r="G1797">
        <v>0</v>
      </c>
      <c r="H1797">
        <v>27</v>
      </c>
      <c r="I1797">
        <v>8</v>
      </c>
    </row>
    <row r="1798" spans="1:9" x14ac:dyDescent="0.25">
      <c r="A1798" s="18">
        <v>43437</v>
      </c>
      <c r="B1798">
        <v>6</v>
      </c>
      <c r="C1798">
        <v>5.0830000000000002</v>
      </c>
      <c r="D1798">
        <v>2.1</v>
      </c>
      <c r="E1798">
        <v>44</v>
      </c>
      <c r="F1798">
        <v>13</v>
      </c>
      <c r="G1798">
        <v>0</v>
      </c>
      <c r="H1798">
        <v>13</v>
      </c>
      <c r="I1798">
        <v>1</v>
      </c>
    </row>
    <row r="1799" spans="1:9" x14ac:dyDescent="0.25">
      <c r="A1799" s="18">
        <v>43438</v>
      </c>
      <c r="B1799">
        <v>2.5</v>
      </c>
      <c r="C1799">
        <v>3</v>
      </c>
      <c r="D1799">
        <v>3</v>
      </c>
      <c r="E1799">
        <v>32.200000000000003</v>
      </c>
      <c r="F1799">
        <v>11</v>
      </c>
      <c r="G1799">
        <v>0</v>
      </c>
      <c r="H1799">
        <v>5</v>
      </c>
      <c r="I1799">
        <v>3</v>
      </c>
    </row>
    <row r="1800" spans="1:9" x14ac:dyDescent="0.25">
      <c r="A1800" s="18">
        <v>43439</v>
      </c>
      <c r="B1800">
        <v>5.33</v>
      </c>
      <c r="C1800">
        <v>3.726</v>
      </c>
      <c r="D1800">
        <v>3.5</v>
      </c>
      <c r="E1800">
        <v>41.3</v>
      </c>
      <c r="F1800">
        <v>13</v>
      </c>
      <c r="G1800">
        <v>0</v>
      </c>
      <c r="H1800">
        <v>15</v>
      </c>
      <c r="I1800">
        <v>2</v>
      </c>
    </row>
    <row r="1801" spans="1:9" x14ac:dyDescent="0.25">
      <c r="A1801" s="18">
        <v>43440</v>
      </c>
      <c r="B1801">
        <v>7.84</v>
      </c>
      <c r="C1801">
        <v>2.2429999999999999</v>
      </c>
      <c r="D1801">
        <v>1</v>
      </c>
      <c r="E1801">
        <v>47.5</v>
      </c>
      <c r="F1801">
        <v>9</v>
      </c>
      <c r="G1801">
        <v>3</v>
      </c>
      <c r="H1801">
        <v>1</v>
      </c>
      <c r="I1801">
        <v>0</v>
      </c>
    </row>
    <row r="1802" spans="1:9" x14ac:dyDescent="0.25">
      <c r="A1802" s="18">
        <v>43441</v>
      </c>
      <c r="B1802">
        <v>5</v>
      </c>
      <c r="C1802">
        <v>3.01</v>
      </c>
      <c r="D1802">
        <v>3</v>
      </c>
      <c r="E1802">
        <v>47.4</v>
      </c>
      <c r="F1802">
        <v>14</v>
      </c>
      <c r="G1802">
        <v>0</v>
      </c>
      <c r="H1802">
        <v>12</v>
      </c>
      <c r="I1802">
        <v>3</v>
      </c>
    </row>
    <row r="1803" spans="1:9" x14ac:dyDescent="0.25">
      <c r="A1803" s="18">
        <v>43442</v>
      </c>
      <c r="B1803">
        <v>7</v>
      </c>
      <c r="C1803">
        <v>5</v>
      </c>
      <c r="D1803">
        <v>5</v>
      </c>
      <c r="E1803">
        <v>45.5</v>
      </c>
      <c r="F1803">
        <v>5</v>
      </c>
      <c r="G1803">
        <v>1</v>
      </c>
      <c r="H1803">
        <v>30</v>
      </c>
      <c r="I1803">
        <v>3</v>
      </c>
    </row>
    <row r="1804" spans="1:9" x14ac:dyDescent="0.25">
      <c r="A1804" s="18">
        <v>43443</v>
      </c>
      <c r="B1804">
        <v>4.66</v>
      </c>
      <c r="C1804">
        <v>6.69</v>
      </c>
      <c r="D1804">
        <v>4.0999999999999996</v>
      </c>
      <c r="E1804">
        <v>57.7</v>
      </c>
      <c r="F1804">
        <v>9</v>
      </c>
      <c r="G1804">
        <v>0</v>
      </c>
      <c r="H1804">
        <v>11</v>
      </c>
      <c r="I1804">
        <v>0</v>
      </c>
    </row>
    <row r="1805" spans="1:9" x14ac:dyDescent="0.25">
      <c r="A1805" s="18">
        <v>43444</v>
      </c>
      <c r="B1805">
        <v>4</v>
      </c>
      <c r="C1805">
        <v>5</v>
      </c>
      <c r="D1805">
        <v>1.5</v>
      </c>
      <c r="E1805">
        <v>23.8</v>
      </c>
      <c r="F1805">
        <v>12</v>
      </c>
      <c r="G1805">
        <v>1</v>
      </c>
      <c r="H1805">
        <v>7</v>
      </c>
      <c r="I1805">
        <v>1</v>
      </c>
    </row>
    <row r="1806" spans="1:9" x14ac:dyDescent="0.25">
      <c r="A1806" s="18">
        <v>43445</v>
      </c>
      <c r="B1806">
        <v>4</v>
      </c>
      <c r="C1806">
        <v>4.01</v>
      </c>
      <c r="D1806">
        <v>8.35</v>
      </c>
      <c r="E1806">
        <v>28</v>
      </c>
      <c r="F1806">
        <v>12</v>
      </c>
      <c r="G1806">
        <v>3</v>
      </c>
      <c r="H1806">
        <v>2</v>
      </c>
      <c r="I1806">
        <v>5.5</v>
      </c>
    </row>
    <row r="1807" spans="1:9" x14ac:dyDescent="0.25">
      <c r="A1807" s="18">
        <v>43446</v>
      </c>
      <c r="B1807">
        <v>4.33</v>
      </c>
      <c r="C1807">
        <v>2</v>
      </c>
      <c r="D1807">
        <v>3</v>
      </c>
      <c r="E1807">
        <v>37.6</v>
      </c>
      <c r="F1807">
        <v>11</v>
      </c>
      <c r="G1807">
        <v>0</v>
      </c>
      <c r="H1807">
        <v>21</v>
      </c>
      <c r="I1807">
        <v>0</v>
      </c>
    </row>
    <row r="1808" spans="1:9" x14ac:dyDescent="0.25">
      <c r="A1808" s="18">
        <v>43447</v>
      </c>
      <c r="B1808">
        <v>3.68</v>
      </c>
      <c r="C1808">
        <v>2.2429999999999999</v>
      </c>
      <c r="D1808">
        <v>3</v>
      </c>
      <c r="E1808">
        <v>47.5</v>
      </c>
      <c r="F1808">
        <v>6</v>
      </c>
      <c r="G1808">
        <v>0</v>
      </c>
      <c r="H1808">
        <v>6</v>
      </c>
      <c r="I1808">
        <v>0</v>
      </c>
    </row>
    <row r="1809" spans="1:9" x14ac:dyDescent="0.25">
      <c r="A1809" s="18">
        <v>43448</v>
      </c>
      <c r="B1809">
        <v>2</v>
      </c>
      <c r="C1809">
        <v>2</v>
      </c>
      <c r="D1809">
        <v>0.2</v>
      </c>
      <c r="E1809">
        <v>23.4</v>
      </c>
      <c r="F1809">
        <v>2</v>
      </c>
      <c r="G1809">
        <v>1</v>
      </c>
      <c r="H1809">
        <v>29</v>
      </c>
      <c r="I1809">
        <v>1</v>
      </c>
    </row>
    <row r="1810" spans="1:9" x14ac:dyDescent="0.25">
      <c r="A1810" s="18">
        <v>43449</v>
      </c>
      <c r="B1810">
        <v>4</v>
      </c>
      <c r="C1810">
        <v>2.34</v>
      </c>
      <c r="D1810">
        <v>3.45</v>
      </c>
      <c r="E1810">
        <v>62.4</v>
      </c>
      <c r="F1810">
        <v>5</v>
      </c>
      <c r="G1810">
        <v>0</v>
      </c>
      <c r="H1810">
        <v>26</v>
      </c>
      <c r="I1810">
        <v>2.2999999999999998</v>
      </c>
    </row>
    <row r="1811" spans="1:9" x14ac:dyDescent="0.25">
      <c r="A1811" s="18">
        <v>43450</v>
      </c>
      <c r="B1811">
        <v>1.33</v>
      </c>
      <c r="C1811">
        <v>4.32</v>
      </c>
      <c r="D1811">
        <v>0.2</v>
      </c>
      <c r="E1811">
        <v>27</v>
      </c>
      <c r="F1811">
        <v>3</v>
      </c>
      <c r="G1811">
        <v>0</v>
      </c>
      <c r="H1811">
        <v>7</v>
      </c>
      <c r="I1811">
        <v>1</v>
      </c>
    </row>
    <row r="1812" spans="1:9" x14ac:dyDescent="0.25">
      <c r="A1812" s="18">
        <v>43451</v>
      </c>
      <c r="B1812">
        <v>6.34</v>
      </c>
      <c r="C1812">
        <v>2.0099999999999998</v>
      </c>
      <c r="D1812">
        <v>5</v>
      </c>
      <c r="E1812">
        <v>53</v>
      </c>
      <c r="F1812">
        <v>6</v>
      </c>
      <c r="G1812">
        <v>1</v>
      </c>
      <c r="H1812">
        <v>22</v>
      </c>
      <c r="I1812">
        <v>2</v>
      </c>
    </row>
    <row r="1813" spans="1:9" x14ac:dyDescent="0.25">
      <c r="A1813" s="18">
        <v>43452</v>
      </c>
      <c r="B1813">
        <v>0.33</v>
      </c>
      <c r="C1813">
        <v>2.4729999999999999</v>
      </c>
      <c r="D1813">
        <v>1</v>
      </c>
      <c r="E1813">
        <v>34.5</v>
      </c>
      <c r="F1813">
        <v>12</v>
      </c>
      <c r="G1813">
        <v>3</v>
      </c>
      <c r="H1813">
        <v>9</v>
      </c>
      <c r="I1813">
        <v>2</v>
      </c>
    </row>
    <row r="1814" spans="1:9" x14ac:dyDescent="0.25">
      <c r="A1814" s="18">
        <v>43453</v>
      </c>
      <c r="B1814">
        <v>5.33</v>
      </c>
      <c r="C1814">
        <v>2</v>
      </c>
      <c r="D1814">
        <v>1</v>
      </c>
      <c r="E1814">
        <v>54</v>
      </c>
      <c r="F1814">
        <v>3</v>
      </c>
      <c r="G1814">
        <v>1</v>
      </c>
      <c r="H1814">
        <v>17</v>
      </c>
      <c r="I1814">
        <v>4</v>
      </c>
    </row>
    <row r="1815" spans="1:9" x14ac:dyDescent="0.25">
      <c r="A1815" s="18">
        <v>43454</v>
      </c>
      <c r="B1815">
        <v>8.34</v>
      </c>
      <c r="C1815">
        <v>1.66</v>
      </c>
      <c r="D1815">
        <v>1</v>
      </c>
      <c r="E1815">
        <v>27</v>
      </c>
      <c r="F1815">
        <v>12</v>
      </c>
      <c r="G1815">
        <v>3</v>
      </c>
      <c r="H1815">
        <v>1</v>
      </c>
      <c r="I1815">
        <v>0</v>
      </c>
    </row>
    <row r="1816" spans="1:9" x14ac:dyDescent="0.25">
      <c r="A1816" s="18">
        <v>43455</v>
      </c>
      <c r="B1816">
        <v>2</v>
      </c>
      <c r="C1816">
        <v>1.35</v>
      </c>
      <c r="D1816">
        <v>0</v>
      </c>
      <c r="E1816">
        <v>35</v>
      </c>
      <c r="F1816">
        <v>12</v>
      </c>
      <c r="G1816">
        <v>1</v>
      </c>
      <c r="H1816">
        <v>13</v>
      </c>
      <c r="I1816">
        <v>1</v>
      </c>
    </row>
    <row r="1817" spans="1:9" x14ac:dyDescent="0.25">
      <c r="A1817" s="18">
        <v>43456</v>
      </c>
      <c r="B1817">
        <v>8.34</v>
      </c>
      <c r="C1817">
        <v>3.34</v>
      </c>
      <c r="D1817">
        <v>4.5</v>
      </c>
      <c r="E1817">
        <v>43.4</v>
      </c>
      <c r="F1817">
        <v>3</v>
      </c>
      <c r="G1817">
        <v>1</v>
      </c>
      <c r="H1817">
        <v>0</v>
      </c>
      <c r="I1817">
        <v>0</v>
      </c>
    </row>
    <row r="1818" spans="1:9" x14ac:dyDescent="0.25">
      <c r="A1818" s="18">
        <v>43457</v>
      </c>
      <c r="B1818">
        <v>12.33</v>
      </c>
      <c r="C1818">
        <v>6.4059999999999997</v>
      </c>
      <c r="D1818">
        <v>2.2999999999999998</v>
      </c>
      <c r="E1818">
        <v>47.7</v>
      </c>
      <c r="F1818">
        <v>8</v>
      </c>
      <c r="G1818">
        <v>0</v>
      </c>
      <c r="H1818">
        <v>13</v>
      </c>
      <c r="I1818">
        <v>4</v>
      </c>
    </row>
    <row r="1819" spans="1:9" x14ac:dyDescent="0.25">
      <c r="A1819" s="18">
        <v>43458</v>
      </c>
      <c r="B1819">
        <v>8.67</v>
      </c>
      <c r="C1819">
        <v>4.3499999999999996</v>
      </c>
      <c r="D1819">
        <v>1</v>
      </c>
      <c r="E1819">
        <v>32</v>
      </c>
      <c r="F1819">
        <v>20</v>
      </c>
      <c r="G1819">
        <v>0</v>
      </c>
      <c r="H1819">
        <v>8</v>
      </c>
      <c r="I1819">
        <v>1</v>
      </c>
    </row>
    <row r="1820" spans="1:9" x14ac:dyDescent="0.25">
      <c r="A1820" s="18">
        <v>43459</v>
      </c>
      <c r="B1820">
        <v>8</v>
      </c>
      <c r="C1820">
        <v>6.0759999999999996</v>
      </c>
      <c r="D1820">
        <v>5.0999999999999996</v>
      </c>
      <c r="E1820">
        <v>42.6</v>
      </c>
      <c r="F1820">
        <v>9</v>
      </c>
      <c r="G1820">
        <v>3</v>
      </c>
      <c r="H1820">
        <v>21</v>
      </c>
      <c r="I1820">
        <v>2</v>
      </c>
    </row>
    <row r="1821" spans="1:9" x14ac:dyDescent="0.25">
      <c r="A1821" s="18">
        <v>43460</v>
      </c>
      <c r="B1821">
        <v>1</v>
      </c>
      <c r="C1821">
        <v>0.66</v>
      </c>
      <c r="D1821">
        <v>2.15</v>
      </c>
      <c r="E1821">
        <v>50</v>
      </c>
      <c r="F1821">
        <v>8</v>
      </c>
      <c r="G1821">
        <v>1</v>
      </c>
      <c r="H1821">
        <v>13</v>
      </c>
      <c r="I1821">
        <v>2</v>
      </c>
    </row>
    <row r="1822" spans="1:9" x14ac:dyDescent="0.25">
      <c r="A1822" s="18">
        <v>43461</v>
      </c>
      <c r="B1822">
        <v>3.68</v>
      </c>
      <c r="C1822">
        <v>3.01</v>
      </c>
      <c r="D1822">
        <v>3.05</v>
      </c>
      <c r="E1822">
        <v>40.6</v>
      </c>
      <c r="F1822">
        <v>8</v>
      </c>
      <c r="G1822">
        <v>0</v>
      </c>
      <c r="H1822">
        <v>7</v>
      </c>
      <c r="I1822">
        <v>0</v>
      </c>
    </row>
    <row r="1823" spans="1:9" x14ac:dyDescent="0.25">
      <c r="A1823" s="18">
        <v>43462</v>
      </c>
      <c r="B1823">
        <v>11.67</v>
      </c>
      <c r="C1823">
        <v>5.8449999999999998</v>
      </c>
      <c r="D1823">
        <v>1</v>
      </c>
      <c r="E1823">
        <v>56.4</v>
      </c>
      <c r="F1823">
        <v>11</v>
      </c>
      <c r="G1823">
        <v>6</v>
      </c>
      <c r="H1823">
        <v>9</v>
      </c>
      <c r="I1823">
        <v>0</v>
      </c>
    </row>
    <row r="1824" spans="1:9" x14ac:dyDescent="0.25">
      <c r="A1824" s="18">
        <v>43463</v>
      </c>
      <c r="B1824">
        <v>6.68</v>
      </c>
      <c r="C1824">
        <v>5.6109999999999998</v>
      </c>
      <c r="D1824">
        <v>1</v>
      </c>
      <c r="E1824">
        <v>68.349999999999994</v>
      </c>
      <c r="F1824">
        <v>5</v>
      </c>
      <c r="G1824">
        <v>0</v>
      </c>
      <c r="H1824">
        <v>7</v>
      </c>
      <c r="I1824">
        <v>2</v>
      </c>
    </row>
    <row r="1825" spans="1:9" x14ac:dyDescent="0.25">
      <c r="A1825" s="18">
        <v>43464</v>
      </c>
      <c r="B1825">
        <v>5.33</v>
      </c>
      <c r="C1825">
        <v>7.593</v>
      </c>
      <c r="D1825">
        <v>5</v>
      </c>
      <c r="E1825">
        <v>59.9</v>
      </c>
      <c r="F1825">
        <v>6</v>
      </c>
      <c r="G1825">
        <v>0</v>
      </c>
      <c r="H1825">
        <v>31</v>
      </c>
      <c r="I1825">
        <v>3.3</v>
      </c>
    </row>
    <row r="1826" spans="1:9" x14ac:dyDescent="0.25">
      <c r="A1826" s="18">
        <v>43465</v>
      </c>
      <c r="B1826">
        <v>8</v>
      </c>
      <c r="C1826">
        <v>4.66</v>
      </c>
      <c r="D1826">
        <v>5.2</v>
      </c>
      <c r="E1826">
        <v>44.5</v>
      </c>
      <c r="F1826">
        <v>10</v>
      </c>
      <c r="G1826">
        <v>0</v>
      </c>
      <c r="H1826">
        <v>6</v>
      </c>
      <c r="I1826">
        <v>4</v>
      </c>
    </row>
    <row r="1827" spans="1:9" x14ac:dyDescent="0.25">
      <c r="A1827" s="18">
        <v>43466</v>
      </c>
      <c r="B1827">
        <v>3.34</v>
      </c>
      <c r="C1827">
        <v>14.462999999999999</v>
      </c>
      <c r="D1827">
        <v>5.3</v>
      </c>
      <c r="E1827">
        <v>62.061999999999998</v>
      </c>
      <c r="F1827">
        <v>10</v>
      </c>
      <c r="G1827">
        <v>0</v>
      </c>
      <c r="H1827">
        <v>6</v>
      </c>
      <c r="I1827">
        <v>2</v>
      </c>
    </row>
    <row r="1828" spans="1:9" x14ac:dyDescent="0.25">
      <c r="A1828" s="18">
        <v>43467</v>
      </c>
      <c r="B1828">
        <v>5.33</v>
      </c>
      <c r="C1828">
        <v>4.3970000000000002</v>
      </c>
      <c r="D1828">
        <v>4.1500000000000004</v>
      </c>
      <c r="E1828">
        <v>36.799999999999997</v>
      </c>
      <c r="F1828">
        <v>4</v>
      </c>
      <c r="G1828">
        <v>0</v>
      </c>
      <c r="H1828">
        <v>9</v>
      </c>
      <c r="I1828">
        <v>2</v>
      </c>
    </row>
    <row r="1829" spans="1:9" x14ac:dyDescent="0.25">
      <c r="A1829" s="18">
        <v>43468</v>
      </c>
      <c r="B1829">
        <v>4.33</v>
      </c>
      <c r="C1829">
        <v>4.8360000000000003</v>
      </c>
      <c r="D1829">
        <v>6.25</v>
      </c>
      <c r="E1829">
        <v>42.4</v>
      </c>
      <c r="F1829">
        <v>6</v>
      </c>
      <c r="G1829">
        <v>0</v>
      </c>
      <c r="H1829">
        <v>9</v>
      </c>
      <c r="I1829">
        <v>0</v>
      </c>
    </row>
    <row r="1830" spans="1:9" x14ac:dyDescent="0.25">
      <c r="A1830" s="18">
        <v>43469</v>
      </c>
      <c r="B1830">
        <v>7</v>
      </c>
      <c r="C1830">
        <v>3.67</v>
      </c>
      <c r="D1830">
        <v>2.6</v>
      </c>
      <c r="E1830">
        <v>55.8</v>
      </c>
      <c r="F1830">
        <v>10</v>
      </c>
      <c r="G1830">
        <v>0</v>
      </c>
      <c r="H1830">
        <v>0</v>
      </c>
      <c r="I1830">
        <v>1</v>
      </c>
    </row>
    <row r="1831" spans="1:9" x14ac:dyDescent="0.25">
      <c r="A1831" s="18">
        <v>43470</v>
      </c>
      <c r="B1831">
        <v>8.01</v>
      </c>
      <c r="C1831">
        <v>3.69</v>
      </c>
      <c r="D1831">
        <v>3.1</v>
      </c>
      <c r="E1831">
        <v>62.75</v>
      </c>
      <c r="F1831">
        <v>10</v>
      </c>
      <c r="G1831">
        <v>0</v>
      </c>
      <c r="H1831">
        <v>30</v>
      </c>
      <c r="I1831">
        <v>1</v>
      </c>
    </row>
    <row r="1832" spans="1:9" x14ac:dyDescent="0.25">
      <c r="A1832" s="18">
        <v>43471</v>
      </c>
      <c r="B1832">
        <v>8.33</v>
      </c>
      <c r="C1832">
        <v>10.01</v>
      </c>
      <c r="D1832">
        <v>2.25</v>
      </c>
      <c r="E1832">
        <v>47.4</v>
      </c>
      <c r="F1832">
        <v>11</v>
      </c>
      <c r="G1832">
        <v>2</v>
      </c>
      <c r="H1832">
        <v>0</v>
      </c>
      <c r="I1832">
        <v>3</v>
      </c>
    </row>
    <row r="1833" spans="1:9" x14ac:dyDescent="0.25">
      <c r="A1833" s="18">
        <v>43472</v>
      </c>
      <c r="B1833">
        <v>1.67</v>
      </c>
      <c r="C1833">
        <v>3.53</v>
      </c>
      <c r="D1833">
        <v>4.5999999999999996</v>
      </c>
      <c r="E1833">
        <v>100.1</v>
      </c>
      <c r="F1833">
        <v>13</v>
      </c>
      <c r="G1833">
        <v>1</v>
      </c>
      <c r="H1833">
        <v>0</v>
      </c>
      <c r="I1833">
        <v>0</v>
      </c>
    </row>
    <row r="1834" spans="1:9" x14ac:dyDescent="0.25">
      <c r="A1834" s="18">
        <v>43473</v>
      </c>
      <c r="B1834">
        <v>4.34</v>
      </c>
      <c r="C1834">
        <v>3.32</v>
      </c>
      <c r="D1834">
        <v>0</v>
      </c>
      <c r="E1834">
        <v>41.8</v>
      </c>
      <c r="F1834">
        <v>6</v>
      </c>
      <c r="G1834">
        <v>0</v>
      </c>
      <c r="H1834">
        <v>10</v>
      </c>
      <c r="I1834">
        <v>2</v>
      </c>
    </row>
    <row r="1835" spans="1:9" x14ac:dyDescent="0.25">
      <c r="A1835" s="18">
        <v>43474</v>
      </c>
      <c r="B1835">
        <v>3</v>
      </c>
      <c r="C1835">
        <v>1.33</v>
      </c>
      <c r="D1835">
        <v>2</v>
      </c>
      <c r="E1835">
        <v>64.8</v>
      </c>
      <c r="F1835">
        <v>24</v>
      </c>
      <c r="G1835">
        <v>3</v>
      </c>
      <c r="H1835">
        <v>10</v>
      </c>
      <c r="I1835">
        <v>1</v>
      </c>
    </row>
    <row r="1836" spans="1:9" x14ac:dyDescent="0.25">
      <c r="A1836" s="18">
        <v>43475</v>
      </c>
      <c r="B1836">
        <v>8</v>
      </c>
      <c r="C1836">
        <v>3.58</v>
      </c>
      <c r="D1836">
        <v>5.6</v>
      </c>
      <c r="E1836">
        <v>39.1</v>
      </c>
      <c r="F1836">
        <v>12</v>
      </c>
      <c r="G1836">
        <v>2</v>
      </c>
      <c r="H1836">
        <v>13</v>
      </c>
      <c r="I1836">
        <v>1</v>
      </c>
    </row>
    <row r="1837" spans="1:9" x14ac:dyDescent="0.25">
      <c r="A1837" s="18">
        <v>43476</v>
      </c>
      <c r="B1837">
        <v>5.33</v>
      </c>
      <c r="C1837">
        <v>7.34</v>
      </c>
      <c r="D1837">
        <v>3</v>
      </c>
      <c r="E1837">
        <v>61.6</v>
      </c>
      <c r="F1837">
        <v>12</v>
      </c>
      <c r="G1837">
        <v>0</v>
      </c>
      <c r="H1837">
        <v>6</v>
      </c>
      <c r="I1837">
        <v>0</v>
      </c>
    </row>
    <row r="1838" spans="1:9" x14ac:dyDescent="0.25">
      <c r="A1838" s="18">
        <v>43477</v>
      </c>
      <c r="B1838">
        <v>6.66</v>
      </c>
      <c r="C1838">
        <v>7.02</v>
      </c>
      <c r="D1838">
        <v>5</v>
      </c>
      <c r="E1838">
        <v>74.5</v>
      </c>
      <c r="F1838">
        <v>21.2</v>
      </c>
      <c r="G1838">
        <v>0</v>
      </c>
      <c r="H1838">
        <v>10</v>
      </c>
      <c r="I1838">
        <v>0</v>
      </c>
    </row>
    <row r="1839" spans="1:9" x14ac:dyDescent="0.25">
      <c r="A1839" s="18">
        <v>43478</v>
      </c>
      <c r="B1839">
        <v>8.33</v>
      </c>
      <c r="C1839">
        <v>5.8140000000000001</v>
      </c>
      <c r="D1839">
        <v>4.5999999999999996</v>
      </c>
      <c r="E1839">
        <v>73</v>
      </c>
      <c r="F1839">
        <v>4</v>
      </c>
      <c r="G1839">
        <v>1</v>
      </c>
      <c r="H1839">
        <v>1</v>
      </c>
      <c r="I1839">
        <v>2</v>
      </c>
    </row>
    <row r="1840" spans="1:9" x14ac:dyDescent="0.25">
      <c r="A1840" s="18">
        <v>43479</v>
      </c>
      <c r="B1840">
        <v>9</v>
      </c>
      <c r="C1840">
        <v>9.6999999999999993</v>
      </c>
      <c r="D1840">
        <v>3</v>
      </c>
      <c r="E1840">
        <v>51</v>
      </c>
      <c r="F1840">
        <v>10</v>
      </c>
      <c r="G1840">
        <v>0</v>
      </c>
      <c r="H1840">
        <v>18</v>
      </c>
      <c r="I1840">
        <v>0</v>
      </c>
    </row>
    <row r="1841" spans="1:9" x14ac:dyDescent="0.25">
      <c r="A1841" s="18">
        <v>43480</v>
      </c>
      <c r="B1841">
        <v>4.33</v>
      </c>
      <c r="C1841">
        <v>4.33</v>
      </c>
      <c r="D1841">
        <v>3.65</v>
      </c>
      <c r="E1841">
        <v>30.4</v>
      </c>
      <c r="F1841">
        <v>9</v>
      </c>
      <c r="G1841">
        <v>0</v>
      </c>
      <c r="H1841">
        <v>19</v>
      </c>
      <c r="I1841">
        <v>1</v>
      </c>
    </row>
    <row r="1842" spans="1:9" x14ac:dyDescent="0.25">
      <c r="A1842" s="18">
        <v>43481</v>
      </c>
      <c r="B1842">
        <v>7.5</v>
      </c>
      <c r="C1842">
        <v>5.0659999999999998</v>
      </c>
      <c r="D1842">
        <v>6</v>
      </c>
      <c r="E1842">
        <v>48.8</v>
      </c>
      <c r="F1842">
        <v>12</v>
      </c>
      <c r="G1842">
        <v>0</v>
      </c>
      <c r="H1842">
        <v>17</v>
      </c>
      <c r="I1842">
        <v>5</v>
      </c>
    </row>
    <row r="1843" spans="1:9" x14ac:dyDescent="0.25">
      <c r="A1843" s="18">
        <v>43482</v>
      </c>
      <c r="B1843">
        <v>5.34</v>
      </c>
      <c r="C1843">
        <v>3.68</v>
      </c>
      <c r="D1843">
        <v>3.7</v>
      </c>
      <c r="E1843">
        <v>55.6</v>
      </c>
      <c r="F1843">
        <v>10</v>
      </c>
      <c r="G1843">
        <v>3</v>
      </c>
      <c r="H1843">
        <v>8</v>
      </c>
      <c r="I1843">
        <v>1</v>
      </c>
    </row>
    <row r="1844" spans="1:9" x14ac:dyDescent="0.25">
      <c r="A1844" s="18">
        <v>43483</v>
      </c>
      <c r="B1844">
        <v>6.33</v>
      </c>
      <c r="C1844">
        <v>6.4390000000000001</v>
      </c>
      <c r="D1844">
        <v>4</v>
      </c>
      <c r="E1844">
        <v>27.8</v>
      </c>
      <c r="F1844">
        <v>13</v>
      </c>
      <c r="G1844">
        <v>0</v>
      </c>
      <c r="H1844">
        <v>24</v>
      </c>
      <c r="I1844">
        <v>2</v>
      </c>
    </row>
    <row r="1845" spans="1:9" x14ac:dyDescent="0.25">
      <c r="A1845" s="18">
        <v>43484</v>
      </c>
      <c r="B1845">
        <v>7.02</v>
      </c>
      <c r="C1845">
        <v>8.391</v>
      </c>
      <c r="D1845">
        <v>5.5</v>
      </c>
      <c r="E1845">
        <v>77.400000000000006</v>
      </c>
      <c r="F1845">
        <v>9</v>
      </c>
      <c r="G1845">
        <v>0</v>
      </c>
      <c r="H1845">
        <v>1</v>
      </c>
      <c r="I1845">
        <v>3</v>
      </c>
    </row>
    <row r="1846" spans="1:9" x14ac:dyDescent="0.25">
      <c r="A1846" s="18">
        <v>43485</v>
      </c>
      <c r="B1846">
        <v>11.67</v>
      </c>
      <c r="C1846">
        <v>14.462999999999999</v>
      </c>
      <c r="D1846">
        <v>2.1</v>
      </c>
      <c r="E1846">
        <v>93.05</v>
      </c>
      <c r="F1846">
        <v>6</v>
      </c>
      <c r="G1846">
        <v>0</v>
      </c>
      <c r="H1846">
        <v>34</v>
      </c>
      <c r="I1846">
        <v>1</v>
      </c>
    </row>
    <row r="1847" spans="1:9" x14ac:dyDescent="0.25">
      <c r="A1847" s="18">
        <v>43486</v>
      </c>
      <c r="B1847">
        <v>4.34</v>
      </c>
      <c r="C1847">
        <v>5.8250000000000002</v>
      </c>
      <c r="D1847">
        <v>0</v>
      </c>
      <c r="E1847">
        <v>67.150000000000006</v>
      </c>
      <c r="F1847">
        <v>11</v>
      </c>
      <c r="G1847">
        <v>0</v>
      </c>
      <c r="H1847">
        <v>31</v>
      </c>
      <c r="I1847">
        <v>0</v>
      </c>
    </row>
    <row r="1848" spans="1:9" x14ac:dyDescent="0.25">
      <c r="A1848" s="18">
        <v>43487</v>
      </c>
      <c r="B1848">
        <v>6.83</v>
      </c>
      <c r="C1848">
        <v>7.0759999999999996</v>
      </c>
      <c r="D1848">
        <v>1</v>
      </c>
      <c r="E1848">
        <v>74.900000000000006</v>
      </c>
      <c r="F1848">
        <v>13</v>
      </c>
      <c r="G1848">
        <v>1</v>
      </c>
      <c r="H1848">
        <v>7</v>
      </c>
      <c r="I1848">
        <v>0</v>
      </c>
    </row>
    <row r="1849" spans="1:9" x14ac:dyDescent="0.25">
      <c r="A1849" s="18">
        <v>43488</v>
      </c>
      <c r="B1849">
        <v>3.33</v>
      </c>
      <c r="C1849">
        <v>8.4629999999999992</v>
      </c>
      <c r="D1849">
        <v>7.1</v>
      </c>
      <c r="E1849">
        <v>58.4</v>
      </c>
      <c r="F1849">
        <v>4</v>
      </c>
      <c r="G1849">
        <v>0</v>
      </c>
      <c r="H1849">
        <v>23</v>
      </c>
      <c r="I1849">
        <v>2</v>
      </c>
    </row>
    <row r="1850" spans="1:9" x14ac:dyDescent="0.25">
      <c r="A1850" s="18">
        <v>43489</v>
      </c>
      <c r="B1850">
        <v>4</v>
      </c>
      <c r="C1850">
        <v>4.4950000000000001</v>
      </c>
      <c r="D1850">
        <v>6</v>
      </c>
      <c r="E1850">
        <v>47.3</v>
      </c>
      <c r="F1850">
        <v>7</v>
      </c>
      <c r="G1850">
        <v>4</v>
      </c>
      <c r="H1850">
        <v>2</v>
      </c>
      <c r="I1850">
        <v>3</v>
      </c>
    </row>
    <row r="1851" spans="1:9" x14ac:dyDescent="0.25">
      <c r="A1851" s="18">
        <v>43490</v>
      </c>
      <c r="B1851">
        <v>2.33</v>
      </c>
      <c r="C1851">
        <v>7.18</v>
      </c>
      <c r="D1851">
        <v>4</v>
      </c>
      <c r="E1851">
        <v>32.65</v>
      </c>
      <c r="F1851">
        <v>11</v>
      </c>
      <c r="G1851">
        <v>2</v>
      </c>
      <c r="H1851">
        <v>11</v>
      </c>
      <c r="I1851">
        <v>1</v>
      </c>
    </row>
    <row r="1852" spans="1:9" x14ac:dyDescent="0.25">
      <c r="A1852" s="18">
        <v>43491</v>
      </c>
      <c r="B1852">
        <v>7</v>
      </c>
      <c r="C1852">
        <v>8.4589999999999996</v>
      </c>
      <c r="D1852">
        <v>2.4</v>
      </c>
      <c r="E1852">
        <v>97.8</v>
      </c>
      <c r="F1852">
        <v>11</v>
      </c>
      <c r="G1852">
        <v>1</v>
      </c>
      <c r="H1852">
        <v>13</v>
      </c>
      <c r="I1852">
        <v>1</v>
      </c>
    </row>
    <row r="1853" spans="1:9" x14ac:dyDescent="0.25">
      <c r="A1853" s="18">
        <v>43492</v>
      </c>
      <c r="B1853">
        <v>10.52</v>
      </c>
      <c r="C1853">
        <v>11.744999999999999</v>
      </c>
      <c r="D1853">
        <v>2</v>
      </c>
      <c r="E1853">
        <v>100.1</v>
      </c>
      <c r="F1853">
        <v>12</v>
      </c>
      <c r="G1853">
        <v>1</v>
      </c>
      <c r="H1853">
        <v>6</v>
      </c>
      <c r="I1853">
        <v>2</v>
      </c>
    </row>
    <row r="1854" spans="1:9" x14ac:dyDescent="0.25">
      <c r="A1854" s="18">
        <v>43493</v>
      </c>
      <c r="B1854">
        <v>8.5</v>
      </c>
      <c r="C1854">
        <v>7.109</v>
      </c>
      <c r="D1854">
        <v>3</v>
      </c>
      <c r="E1854">
        <v>45</v>
      </c>
      <c r="F1854">
        <v>11</v>
      </c>
      <c r="G1854">
        <v>0</v>
      </c>
      <c r="H1854">
        <v>28</v>
      </c>
      <c r="I1854">
        <v>3</v>
      </c>
    </row>
    <row r="1855" spans="1:9" x14ac:dyDescent="0.25">
      <c r="A1855" s="18">
        <v>43494</v>
      </c>
      <c r="B1855">
        <v>5</v>
      </c>
      <c r="C1855">
        <v>5</v>
      </c>
      <c r="D1855">
        <v>3.45</v>
      </c>
      <c r="E1855">
        <v>38.799999999999997</v>
      </c>
      <c r="F1855">
        <v>10</v>
      </c>
      <c r="G1855">
        <v>2</v>
      </c>
      <c r="H1855">
        <v>15</v>
      </c>
      <c r="I1855">
        <v>0</v>
      </c>
    </row>
    <row r="1856" spans="1:9" x14ac:dyDescent="0.25">
      <c r="A1856" s="18">
        <v>43495</v>
      </c>
      <c r="B1856">
        <v>6.33</v>
      </c>
      <c r="C1856">
        <v>5.7130000000000001</v>
      </c>
      <c r="D1856">
        <v>2.25</v>
      </c>
      <c r="E1856">
        <v>52.311999999999998</v>
      </c>
      <c r="F1856">
        <v>8</v>
      </c>
      <c r="G1856">
        <v>0</v>
      </c>
      <c r="H1856">
        <v>11</v>
      </c>
      <c r="I1856">
        <v>1.3</v>
      </c>
    </row>
    <row r="1857" spans="1:9" x14ac:dyDescent="0.25">
      <c r="A1857" s="18">
        <v>43496</v>
      </c>
      <c r="B1857">
        <v>1.67</v>
      </c>
      <c r="C1857">
        <v>11.505000000000001</v>
      </c>
      <c r="D1857">
        <v>2</v>
      </c>
      <c r="E1857">
        <v>62.2</v>
      </c>
      <c r="F1857">
        <v>8</v>
      </c>
      <c r="G1857">
        <v>1</v>
      </c>
      <c r="H1857">
        <v>20</v>
      </c>
      <c r="I1857">
        <v>2</v>
      </c>
    </row>
    <row r="1858" spans="1:9" x14ac:dyDescent="0.25">
      <c r="A1858" s="18">
        <v>43497</v>
      </c>
      <c r="B1858">
        <v>11.34</v>
      </c>
      <c r="C1858">
        <v>1.726</v>
      </c>
      <c r="D1858">
        <v>8</v>
      </c>
      <c r="E1858">
        <v>38.9</v>
      </c>
      <c r="F1858">
        <v>9</v>
      </c>
      <c r="G1858">
        <v>0</v>
      </c>
      <c r="H1858">
        <v>7</v>
      </c>
      <c r="I1858">
        <v>3</v>
      </c>
    </row>
    <row r="1859" spans="1:9" x14ac:dyDescent="0.25">
      <c r="A1859" s="18">
        <v>43498</v>
      </c>
      <c r="B1859">
        <v>13.34</v>
      </c>
      <c r="C1859">
        <v>12.706</v>
      </c>
      <c r="D1859">
        <v>6.2</v>
      </c>
      <c r="E1859">
        <v>64.262</v>
      </c>
      <c r="F1859">
        <v>8</v>
      </c>
      <c r="G1859">
        <v>1</v>
      </c>
      <c r="H1859">
        <v>45</v>
      </c>
      <c r="I1859">
        <v>0</v>
      </c>
    </row>
    <row r="1860" spans="1:9" x14ac:dyDescent="0.25">
      <c r="A1860" s="18">
        <v>43499</v>
      </c>
      <c r="B1860">
        <v>6</v>
      </c>
      <c r="C1860">
        <v>9.8119999999999994</v>
      </c>
      <c r="D1860">
        <v>5.75</v>
      </c>
      <c r="E1860">
        <v>47.088000000000001</v>
      </c>
      <c r="F1860">
        <v>10</v>
      </c>
      <c r="G1860">
        <v>1</v>
      </c>
      <c r="H1860">
        <v>5</v>
      </c>
      <c r="I1860">
        <v>4.4000000000000004</v>
      </c>
    </row>
    <row r="1861" spans="1:9" x14ac:dyDescent="0.25">
      <c r="A1861" s="18">
        <v>43500</v>
      </c>
      <c r="B1861">
        <v>6.33</v>
      </c>
      <c r="C1861">
        <v>6.68</v>
      </c>
      <c r="D1861">
        <v>3</v>
      </c>
      <c r="E1861">
        <v>47</v>
      </c>
      <c r="F1861">
        <v>5</v>
      </c>
      <c r="G1861">
        <v>1</v>
      </c>
      <c r="H1861">
        <v>12</v>
      </c>
      <c r="I1861">
        <v>2</v>
      </c>
    </row>
    <row r="1862" spans="1:9" x14ac:dyDescent="0.25">
      <c r="A1862" s="18">
        <v>43501</v>
      </c>
      <c r="B1862">
        <v>5.33</v>
      </c>
      <c r="C1862">
        <v>10.385999999999999</v>
      </c>
      <c r="D1862">
        <v>3.65</v>
      </c>
      <c r="E1862">
        <v>33.799999999999997</v>
      </c>
      <c r="F1862">
        <v>2</v>
      </c>
      <c r="G1862">
        <v>0</v>
      </c>
      <c r="H1862">
        <v>1</v>
      </c>
      <c r="I1862">
        <v>4</v>
      </c>
    </row>
    <row r="1863" spans="1:9" x14ac:dyDescent="0.25">
      <c r="A1863" s="18">
        <v>43502</v>
      </c>
      <c r="B1863">
        <v>6.34</v>
      </c>
      <c r="C1863">
        <v>4.1779999999999999</v>
      </c>
      <c r="D1863">
        <v>2.2000000000000002</v>
      </c>
      <c r="E1863">
        <v>29</v>
      </c>
      <c r="F1863">
        <v>4</v>
      </c>
      <c r="G1863">
        <v>0</v>
      </c>
      <c r="H1863">
        <v>4</v>
      </c>
      <c r="I1863">
        <v>1.5</v>
      </c>
    </row>
    <row r="1864" spans="1:9" x14ac:dyDescent="0.25">
      <c r="A1864" s="18">
        <v>43503</v>
      </c>
      <c r="B1864">
        <v>2.33</v>
      </c>
      <c r="C1864">
        <v>5.1319999999999997</v>
      </c>
      <c r="D1864">
        <v>4.5</v>
      </c>
      <c r="E1864">
        <v>42.6</v>
      </c>
      <c r="F1864">
        <v>11</v>
      </c>
      <c r="G1864">
        <v>0</v>
      </c>
      <c r="H1864">
        <v>22</v>
      </c>
      <c r="I1864">
        <v>1</v>
      </c>
    </row>
    <row r="1865" spans="1:9" x14ac:dyDescent="0.25">
      <c r="A1865" s="18">
        <v>43504</v>
      </c>
      <c r="B1865">
        <v>2</v>
      </c>
      <c r="C1865">
        <v>6.3730000000000002</v>
      </c>
      <c r="D1865">
        <v>7</v>
      </c>
      <c r="E1865">
        <v>50.2</v>
      </c>
      <c r="F1865">
        <v>9</v>
      </c>
      <c r="G1865">
        <v>3</v>
      </c>
      <c r="H1865">
        <v>12</v>
      </c>
      <c r="I1865">
        <v>5</v>
      </c>
    </row>
    <row r="1866" spans="1:9" x14ac:dyDescent="0.25">
      <c r="A1866" s="18">
        <v>43505</v>
      </c>
      <c r="B1866">
        <v>6.68</v>
      </c>
      <c r="C1866">
        <v>7.383</v>
      </c>
      <c r="D1866">
        <v>5</v>
      </c>
      <c r="E1866">
        <v>51.65</v>
      </c>
      <c r="F1866">
        <v>10</v>
      </c>
      <c r="G1866">
        <v>0</v>
      </c>
      <c r="H1866">
        <v>11</v>
      </c>
      <c r="I1866">
        <v>1</v>
      </c>
    </row>
    <row r="1867" spans="1:9" x14ac:dyDescent="0.25">
      <c r="A1867" s="18">
        <v>43506</v>
      </c>
      <c r="B1867">
        <v>3.34</v>
      </c>
      <c r="C1867">
        <v>7.1189999999999998</v>
      </c>
      <c r="D1867">
        <v>3.35</v>
      </c>
      <c r="E1867">
        <v>43.2</v>
      </c>
      <c r="F1867">
        <v>9</v>
      </c>
      <c r="G1867">
        <v>0</v>
      </c>
      <c r="H1867">
        <v>0</v>
      </c>
      <c r="I1867">
        <v>1.2</v>
      </c>
    </row>
    <row r="1868" spans="1:9" x14ac:dyDescent="0.25">
      <c r="A1868" s="18">
        <v>43507</v>
      </c>
      <c r="B1868">
        <v>8</v>
      </c>
      <c r="C1868">
        <v>7.4690000000000003</v>
      </c>
      <c r="D1868">
        <v>6.15</v>
      </c>
      <c r="E1868">
        <v>30</v>
      </c>
      <c r="F1868">
        <v>10</v>
      </c>
      <c r="G1868">
        <v>0</v>
      </c>
      <c r="H1868">
        <v>5</v>
      </c>
      <c r="I1868">
        <v>3</v>
      </c>
    </row>
    <row r="1869" spans="1:9" x14ac:dyDescent="0.25">
      <c r="A1869" s="18">
        <v>43508</v>
      </c>
      <c r="B1869">
        <v>6.66</v>
      </c>
      <c r="C1869">
        <v>3.34</v>
      </c>
      <c r="D1869">
        <v>0</v>
      </c>
      <c r="E1869">
        <v>34.6</v>
      </c>
      <c r="F1869">
        <v>8.1999999999999993</v>
      </c>
      <c r="G1869">
        <v>0</v>
      </c>
      <c r="H1869">
        <v>6</v>
      </c>
      <c r="I1869">
        <v>0.5</v>
      </c>
    </row>
    <row r="1870" spans="1:9" x14ac:dyDescent="0.25">
      <c r="A1870" s="18">
        <v>43509</v>
      </c>
      <c r="B1870">
        <v>4</v>
      </c>
      <c r="C1870">
        <v>4.01</v>
      </c>
      <c r="D1870">
        <v>1</v>
      </c>
      <c r="E1870">
        <v>27.2</v>
      </c>
      <c r="F1870">
        <v>16</v>
      </c>
      <c r="G1870">
        <v>0</v>
      </c>
      <c r="H1870">
        <v>8</v>
      </c>
      <c r="I1870">
        <v>2</v>
      </c>
    </row>
    <row r="1871" spans="1:9" x14ac:dyDescent="0.25">
      <c r="A1871" s="18">
        <v>43510</v>
      </c>
      <c r="B1871">
        <v>2.33</v>
      </c>
      <c r="C1871">
        <v>6.5170000000000003</v>
      </c>
      <c r="D1871">
        <v>3.15</v>
      </c>
      <c r="E1871">
        <v>54.5</v>
      </c>
      <c r="F1871">
        <v>9</v>
      </c>
      <c r="G1871">
        <v>0</v>
      </c>
      <c r="H1871">
        <v>7</v>
      </c>
      <c r="I1871">
        <v>3</v>
      </c>
    </row>
    <row r="1872" spans="1:9" x14ac:dyDescent="0.25">
      <c r="A1872" s="18">
        <v>43511</v>
      </c>
      <c r="B1872">
        <v>5.34</v>
      </c>
      <c r="C1872">
        <v>5</v>
      </c>
      <c r="D1872">
        <v>12.5</v>
      </c>
      <c r="E1872">
        <v>52.05</v>
      </c>
      <c r="F1872">
        <v>16</v>
      </c>
      <c r="G1872">
        <v>0</v>
      </c>
      <c r="H1872">
        <v>3</v>
      </c>
      <c r="I1872">
        <v>2</v>
      </c>
    </row>
    <row r="1873" spans="1:9" x14ac:dyDescent="0.25">
      <c r="A1873" s="18">
        <v>43512</v>
      </c>
      <c r="B1873">
        <v>6.34</v>
      </c>
      <c r="C1873">
        <v>6.02</v>
      </c>
      <c r="D1873">
        <v>5</v>
      </c>
      <c r="E1873">
        <v>36.4</v>
      </c>
      <c r="F1873">
        <v>8</v>
      </c>
      <c r="G1873">
        <v>0</v>
      </c>
      <c r="H1873">
        <v>6</v>
      </c>
      <c r="I1873">
        <v>3</v>
      </c>
    </row>
    <row r="1874" spans="1:9" x14ac:dyDescent="0.25">
      <c r="A1874" s="18">
        <v>43513</v>
      </c>
      <c r="B1874">
        <v>2.34</v>
      </c>
      <c r="C1874">
        <v>4.4160000000000004</v>
      </c>
      <c r="D1874">
        <v>4</v>
      </c>
      <c r="E1874">
        <v>15.162000000000001</v>
      </c>
      <c r="F1874">
        <v>11.2</v>
      </c>
      <c r="G1874">
        <v>0</v>
      </c>
      <c r="H1874">
        <v>0</v>
      </c>
      <c r="I1874">
        <v>3.1</v>
      </c>
    </row>
    <row r="1875" spans="1:9" x14ac:dyDescent="0.25">
      <c r="A1875" s="18">
        <v>43514</v>
      </c>
      <c r="B1875">
        <v>3.34</v>
      </c>
      <c r="C1875">
        <v>2.0760000000000001</v>
      </c>
      <c r="D1875">
        <v>3.6</v>
      </c>
      <c r="E1875">
        <v>27.4</v>
      </c>
      <c r="F1875">
        <v>7</v>
      </c>
      <c r="G1875">
        <v>0</v>
      </c>
      <c r="H1875">
        <v>10</v>
      </c>
      <c r="I1875">
        <v>0</v>
      </c>
    </row>
    <row r="1876" spans="1:9" x14ac:dyDescent="0.25">
      <c r="A1876" s="18">
        <v>43515</v>
      </c>
      <c r="B1876">
        <v>3.33</v>
      </c>
      <c r="C1876">
        <v>4.33</v>
      </c>
      <c r="D1876">
        <v>1.5</v>
      </c>
      <c r="E1876">
        <v>27.4</v>
      </c>
      <c r="F1876">
        <v>15</v>
      </c>
      <c r="G1876">
        <v>2</v>
      </c>
      <c r="H1876">
        <v>6</v>
      </c>
      <c r="I1876">
        <v>3</v>
      </c>
    </row>
    <row r="1877" spans="1:9" x14ac:dyDescent="0.25">
      <c r="A1877" s="18">
        <v>43516</v>
      </c>
      <c r="B1877">
        <v>2.34</v>
      </c>
      <c r="C1877">
        <v>4.7789999999999999</v>
      </c>
      <c r="D1877">
        <v>3.3</v>
      </c>
      <c r="E1877">
        <v>30.6</v>
      </c>
      <c r="F1877">
        <v>14</v>
      </c>
      <c r="G1877">
        <v>0</v>
      </c>
      <c r="H1877">
        <v>7</v>
      </c>
      <c r="I1877">
        <v>3</v>
      </c>
    </row>
    <row r="1878" spans="1:9" x14ac:dyDescent="0.25">
      <c r="A1878" s="18">
        <v>43517</v>
      </c>
      <c r="B1878">
        <v>1.66</v>
      </c>
      <c r="C1878">
        <v>5</v>
      </c>
      <c r="D1878">
        <v>2.1</v>
      </c>
      <c r="E1878">
        <v>45.4</v>
      </c>
      <c r="F1878">
        <v>15</v>
      </c>
      <c r="G1878">
        <v>1</v>
      </c>
      <c r="H1878">
        <v>5</v>
      </c>
      <c r="I1878">
        <v>2</v>
      </c>
    </row>
    <row r="1879" spans="1:9" x14ac:dyDescent="0.25">
      <c r="A1879" s="18">
        <v>43518</v>
      </c>
      <c r="B1879">
        <v>2.33</v>
      </c>
      <c r="C1879">
        <v>2</v>
      </c>
      <c r="D1879">
        <v>1.2</v>
      </c>
      <c r="E1879">
        <v>16</v>
      </c>
      <c r="F1879">
        <v>5</v>
      </c>
      <c r="G1879">
        <v>0</v>
      </c>
      <c r="H1879">
        <v>1</v>
      </c>
      <c r="I1879">
        <v>2</v>
      </c>
    </row>
    <row r="1880" spans="1:9" x14ac:dyDescent="0.25">
      <c r="A1880" s="18">
        <v>43519</v>
      </c>
      <c r="B1880">
        <v>5.01</v>
      </c>
      <c r="C1880">
        <v>2.44</v>
      </c>
      <c r="D1880">
        <v>3.2</v>
      </c>
      <c r="E1880">
        <v>38.200000000000003</v>
      </c>
      <c r="F1880">
        <v>13</v>
      </c>
      <c r="G1880">
        <v>0</v>
      </c>
      <c r="H1880">
        <v>0</v>
      </c>
      <c r="I1880">
        <v>1.3</v>
      </c>
    </row>
    <row r="1881" spans="1:9" x14ac:dyDescent="0.25">
      <c r="A1881" s="18">
        <v>43520</v>
      </c>
      <c r="B1881">
        <v>4.34</v>
      </c>
      <c r="C1881">
        <v>4.01</v>
      </c>
      <c r="D1881">
        <v>1.5</v>
      </c>
      <c r="E1881">
        <v>19</v>
      </c>
      <c r="F1881">
        <v>2</v>
      </c>
      <c r="G1881">
        <v>0</v>
      </c>
      <c r="H1881">
        <v>2</v>
      </c>
      <c r="I1881">
        <v>2</v>
      </c>
    </row>
    <row r="1882" spans="1:9" x14ac:dyDescent="0.25">
      <c r="A1882" s="18">
        <v>43521</v>
      </c>
      <c r="B1882">
        <v>5.34</v>
      </c>
      <c r="C1882">
        <v>1.423</v>
      </c>
      <c r="D1882">
        <v>3</v>
      </c>
      <c r="E1882">
        <v>25.2</v>
      </c>
      <c r="F1882">
        <v>4</v>
      </c>
      <c r="G1882">
        <v>2</v>
      </c>
      <c r="H1882">
        <v>2</v>
      </c>
      <c r="I1882">
        <v>3</v>
      </c>
    </row>
    <row r="1883" spans="1:9" x14ac:dyDescent="0.25">
      <c r="A1883" s="18">
        <v>43522</v>
      </c>
      <c r="B1883">
        <v>2.33</v>
      </c>
      <c r="C1883">
        <v>3.83</v>
      </c>
      <c r="D1883">
        <v>5.15</v>
      </c>
      <c r="E1883">
        <v>27</v>
      </c>
      <c r="F1883">
        <v>8</v>
      </c>
      <c r="G1883">
        <v>0</v>
      </c>
      <c r="H1883">
        <v>3</v>
      </c>
      <c r="I1883">
        <v>3</v>
      </c>
    </row>
    <row r="1884" spans="1:9" x14ac:dyDescent="0.25">
      <c r="A1884" s="18">
        <v>43523</v>
      </c>
      <c r="B1884">
        <v>5</v>
      </c>
      <c r="C1884">
        <v>0.67</v>
      </c>
      <c r="D1884">
        <v>1.2</v>
      </c>
      <c r="E1884">
        <v>13.4</v>
      </c>
      <c r="F1884">
        <v>9</v>
      </c>
      <c r="G1884">
        <v>0</v>
      </c>
      <c r="H1884">
        <v>1</v>
      </c>
      <c r="I1884">
        <v>7.5</v>
      </c>
    </row>
    <row r="1885" spans="1:9" x14ac:dyDescent="0.25">
      <c r="A1885" s="18">
        <v>43524</v>
      </c>
      <c r="B1885">
        <v>0.67</v>
      </c>
      <c r="C1885">
        <v>3.33</v>
      </c>
      <c r="D1885">
        <v>4</v>
      </c>
      <c r="E1885">
        <v>34</v>
      </c>
      <c r="F1885">
        <v>2</v>
      </c>
      <c r="G1885">
        <v>1</v>
      </c>
      <c r="H1885">
        <v>35</v>
      </c>
      <c r="I1885">
        <v>3</v>
      </c>
    </row>
    <row r="1886" spans="1:9" x14ac:dyDescent="0.25">
      <c r="A1886" s="18">
        <v>43525</v>
      </c>
      <c r="B1886">
        <v>1.33</v>
      </c>
      <c r="C1886">
        <v>3.8210000000000002</v>
      </c>
      <c r="D1886">
        <v>2.5</v>
      </c>
      <c r="E1886">
        <v>22.2</v>
      </c>
      <c r="F1886">
        <v>12</v>
      </c>
      <c r="G1886">
        <v>0</v>
      </c>
      <c r="H1886">
        <v>6</v>
      </c>
      <c r="I1886">
        <v>2</v>
      </c>
    </row>
    <row r="1887" spans="1:9" x14ac:dyDescent="0.25">
      <c r="A1887" s="18">
        <v>43526</v>
      </c>
      <c r="B1887">
        <v>4.01</v>
      </c>
      <c r="C1887">
        <v>1.33</v>
      </c>
      <c r="D1887">
        <v>4</v>
      </c>
      <c r="E1887">
        <v>46</v>
      </c>
      <c r="F1887">
        <v>9</v>
      </c>
      <c r="G1887">
        <v>3</v>
      </c>
      <c r="H1887">
        <v>0</v>
      </c>
      <c r="I1887">
        <v>5</v>
      </c>
    </row>
    <row r="1888" spans="1:9" x14ac:dyDescent="0.25">
      <c r="A1888" s="18">
        <v>43527</v>
      </c>
      <c r="B1888">
        <v>8</v>
      </c>
      <c r="C1888">
        <v>4.01</v>
      </c>
      <c r="D1888">
        <v>1</v>
      </c>
      <c r="E1888">
        <v>20</v>
      </c>
      <c r="F1888">
        <v>5</v>
      </c>
      <c r="G1888">
        <v>0</v>
      </c>
      <c r="H1888">
        <v>10</v>
      </c>
      <c r="I1888">
        <v>0.4</v>
      </c>
    </row>
    <row r="1889" spans="1:9" x14ac:dyDescent="0.25">
      <c r="A1889" s="18">
        <v>43528</v>
      </c>
      <c r="B1889">
        <v>5.33</v>
      </c>
      <c r="C1889">
        <v>2.67</v>
      </c>
      <c r="D1889">
        <v>7</v>
      </c>
      <c r="E1889">
        <v>41</v>
      </c>
      <c r="F1889">
        <v>3</v>
      </c>
      <c r="G1889">
        <v>0</v>
      </c>
      <c r="H1889">
        <v>5</v>
      </c>
      <c r="I1889">
        <v>2</v>
      </c>
    </row>
    <row r="1890" spans="1:9" x14ac:dyDescent="0.25">
      <c r="A1890" s="18">
        <v>43529</v>
      </c>
      <c r="B1890">
        <v>3.01</v>
      </c>
      <c r="C1890">
        <v>2.33</v>
      </c>
      <c r="D1890">
        <v>0.2</v>
      </c>
      <c r="E1890">
        <v>20</v>
      </c>
      <c r="F1890">
        <v>8</v>
      </c>
      <c r="G1890">
        <v>3</v>
      </c>
      <c r="H1890">
        <v>6</v>
      </c>
      <c r="I1890">
        <v>5.3</v>
      </c>
    </row>
    <row r="1891" spans="1:9" x14ac:dyDescent="0.25">
      <c r="A1891" s="18">
        <v>43530</v>
      </c>
      <c r="B1891">
        <v>0.34</v>
      </c>
      <c r="C1891">
        <v>1.3959999999999999</v>
      </c>
      <c r="D1891">
        <v>0.7</v>
      </c>
      <c r="E1891">
        <v>31</v>
      </c>
      <c r="F1891">
        <v>17</v>
      </c>
      <c r="G1891">
        <v>1</v>
      </c>
      <c r="H1891">
        <v>5</v>
      </c>
      <c r="I1891">
        <v>3</v>
      </c>
    </row>
    <row r="1892" spans="1:9" x14ac:dyDescent="0.25">
      <c r="A1892" s="18">
        <v>43531</v>
      </c>
      <c r="B1892">
        <v>7.33</v>
      </c>
      <c r="C1892">
        <v>2.0760000000000001</v>
      </c>
      <c r="D1892">
        <v>4.25</v>
      </c>
      <c r="E1892">
        <v>10</v>
      </c>
      <c r="F1892">
        <v>24</v>
      </c>
      <c r="G1892">
        <v>0</v>
      </c>
      <c r="H1892">
        <v>0</v>
      </c>
      <c r="I1892">
        <v>4</v>
      </c>
    </row>
    <row r="1893" spans="1:9" x14ac:dyDescent="0.25">
      <c r="A1893" s="18">
        <v>43532</v>
      </c>
      <c r="B1893">
        <v>2.33</v>
      </c>
      <c r="C1893">
        <v>3.34</v>
      </c>
      <c r="D1893">
        <v>0.2</v>
      </c>
      <c r="E1893">
        <v>33.700000000000003</v>
      </c>
      <c r="F1893">
        <v>4</v>
      </c>
      <c r="G1893">
        <v>1</v>
      </c>
      <c r="H1893">
        <v>0</v>
      </c>
      <c r="I1893">
        <v>4.3</v>
      </c>
    </row>
    <row r="1894" spans="1:9" x14ac:dyDescent="0.25">
      <c r="A1894" s="18">
        <v>43533</v>
      </c>
      <c r="B1894">
        <v>6.34</v>
      </c>
      <c r="C1894">
        <v>1.67</v>
      </c>
      <c r="D1894">
        <v>4</v>
      </c>
      <c r="E1894">
        <v>45.2</v>
      </c>
      <c r="F1894">
        <v>11</v>
      </c>
      <c r="G1894">
        <v>0</v>
      </c>
      <c r="H1894">
        <v>7</v>
      </c>
      <c r="I1894">
        <v>5</v>
      </c>
    </row>
    <row r="1895" spans="1:9" x14ac:dyDescent="0.25">
      <c r="A1895" s="18">
        <v>43534</v>
      </c>
      <c r="B1895">
        <v>5.83</v>
      </c>
      <c r="C1895">
        <v>3.0870000000000002</v>
      </c>
      <c r="D1895">
        <v>5.35</v>
      </c>
      <c r="E1895">
        <v>51</v>
      </c>
      <c r="F1895">
        <v>5</v>
      </c>
      <c r="G1895">
        <v>0</v>
      </c>
      <c r="H1895">
        <v>3</v>
      </c>
      <c r="I1895">
        <v>9</v>
      </c>
    </row>
    <row r="1896" spans="1:9" x14ac:dyDescent="0.25">
      <c r="A1896" s="18">
        <v>43535</v>
      </c>
      <c r="B1896">
        <v>14.66</v>
      </c>
      <c r="C1896">
        <v>3.67</v>
      </c>
      <c r="D1896">
        <v>2.5</v>
      </c>
      <c r="E1896">
        <v>26.4</v>
      </c>
      <c r="F1896">
        <v>10</v>
      </c>
      <c r="G1896">
        <v>3</v>
      </c>
      <c r="H1896">
        <v>11</v>
      </c>
      <c r="I1896">
        <v>3</v>
      </c>
    </row>
    <row r="1897" spans="1:9" x14ac:dyDescent="0.25">
      <c r="A1897" s="18">
        <v>43536</v>
      </c>
      <c r="B1897">
        <v>4.33</v>
      </c>
      <c r="C1897">
        <v>3.3730000000000002</v>
      </c>
      <c r="D1897">
        <v>1.5</v>
      </c>
      <c r="E1897">
        <v>31.85</v>
      </c>
      <c r="F1897">
        <v>12</v>
      </c>
      <c r="G1897">
        <v>0</v>
      </c>
      <c r="H1897">
        <v>7</v>
      </c>
      <c r="I1897">
        <v>2</v>
      </c>
    </row>
    <row r="1898" spans="1:9" x14ac:dyDescent="0.25">
      <c r="A1898" s="18">
        <v>43537</v>
      </c>
      <c r="B1898">
        <v>2.67</v>
      </c>
      <c r="C1898">
        <v>4.34</v>
      </c>
      <c r="D1898">
        <v>6</v>
      </c>
      <c r="E1898">
        <v>22</v>
      </c>
      <c r="F1898">
        <v>10</v>
      </c>
      <c r="G1898">
        <v>0</v>
      </c>
      <c r="H1898">
        <v>8</v>
      </c>
      <c r="I1898">
        <v>4</v>
      </c>
    </row>
    <row r="1899" spans="1:9" x14ac:dyDescent="0.25">
      <c r="A1899" s="18">
        <v>43538</v>
      </c>
      <c r="B1899">
        <v>4</v>
      </c>
      <c r="C1899">
        <v>5.67</v>
      </c>
      <c r="D1899">
        <v>0.2</v>
      </c>
      <c r="E1899">
        <v>47.2</v>
      </c>
      <c r="F1899">
        <v>12</v>
      </c>
      <c r="G1899">
        <v>1</v>
      </c>
      <c r="H1899">
        <v>27</v>
      </c>
      <c r="I1899">
        <v>6</v>
      </c>
    </row>
    <row r="1900" spans="1:9" x14ac:dyDescent="0.25">
      <c r="A1900" s="18">
        <v>43539</v>
      </c>
      <c r="B1900">
        <v>2.83</v>
      </c>
      <c r="C1900">
        <v>1.34</v>
      </c>
      <c r="D1900">
        <v>3</v>
      </c>
      <c r="E1900">
        <v>40</v>
      </c>
      <c r="F1900">
        <v>7</v>
      </c>
      <c r="G1900">
        <v>1</v>
      </c>
      <c r="H1900">
        <v>20</v>
      </c>
      <c r="I1900">
        <v>5</v>
      </c>
    </row>
    <row r="1901" spans="1:9" x14ac:dyDescent="0.25">
      <c r="A1901" s="18">
        <v>43540</v>
      </c>
      <c r="B1901">
        <v>8.34</v>
      </c>
      <c r="C1901">
        <v>0.83699999999999997</v>
      </c>
      <c r="D1901">
        <v>5</v>
      </c>
      <c r="E1901">
        <v>29</v>
      </c>
      <c r="F1901">
        <v>9</v>
      </c>
      <c r="G1901">
        <v>0</v>
      </c>
      <c r="H1901">
        <v>5</v>
      </c>
      <c r="I1901">
        <v>7</v>
      </c>
    </row>
    <row r="1902" spans="1:9" x14ac:dyDescent="0.25">
      <c r="A1902" s="18">
        <v>43541</v>
      </c>
      <c r="B1902">
        <v>6.68</v>
      </c>
      <c r="C1902">
        <v>3.7229999999999999</v>
      </c>
      <c r="D1902">
        <v>2</v>
      </c>
      <c r="E1902">
        <v>55</v>
      </c>
      <c r="F1902">
        <v>6</v>
      </c>
      <c r="G1902">
        <v>0</v>
      </c>
      <c r="H1902">
        <v>10</v>
      </c>
      <c r="I1902">
        <v>5</v>
      </c>
    </row>
    <row r="1903" spans="1:9" x14ac:dyDescent="0.25">
      <c r="A1903" s="18">
        <v>43542</v>
      </c>
      <c r="B1903">
        <v>2.33</v>
      </c>
      <c r="C1903">
        <v>0.83499999999999996</v>
      </c>
      <c r="D1903">
        <v>2.1</v>
      </c>
      <c r="E1903">
        <v>23</v>
      </c>
      <c r="F1903">
        <v>11</v>
      </c>
      <c r="G1903">
        <v>0</v>
      </c>
      <c r="H1903">
        <v>1</v>
      </c>
      <c r="I1903">
        <v>9</v>
      </c>
    </row>
    <row r="1904" spans="1:9" x14ac:dyDescent="0.25">
      <c r="A1904" s="18">
        <v>43543</v>
      </c>
      <c r="B1904">
        <v>9</v>
      </c>
      <c r="C1904">
        <v>3.33</v>
      </c>
      <c r="D1904">
        <v>1.5</v>
      </c>
      <c r="E1904">
        <v>26.2</v>
      </c>
      <c r="F1904">
        <v>10</v>
      </c>
      <c r="G1904">
        <v>1</v>
      </c>
      <c r="H1904">
        <v>2</v>
      </c>
      <c r="I1904">
        <v>8</v>
      </c>
    </row>
    <row r="1905" spans="1:9" x14ac:dyDescent="0.25">
      <c r="A1905" s="18">
        <v>43544</v>
      </c>
      <c r="B1905">
        <v>5.67</v>
      </c>
      <c r="C1905">
        <v>2</v>
      </c>
      <c r="D1905">
        <v>2</v>
      </c>
      <c r="E1905">
        <v>28.9</v>
      </c>
      <c r="F1905">
        <v>8.1999999999999993</v>
      </c>
      <c r="G1905">
        <v>0</v>
      </c>
      <c r="H1905">
        <v>19</v>
      </c>
      <c r="I1905">
        <v>5</v>
      </c>
    </row>
    <row r="1906" spans="1:9" x14ac:dyDescent="0.25">
      <c r="A1906" s="18">
        <v>43545</v>
      </c>
      <c r="B1906">
        <v>2.33</v>
      </c>
      <c r="C1906">
        <v>1.423</v>
      </c>
      <c r="D1906">
        <v>0</v>
      </c>
      <c r="E1906">
        <v>18.8</v>
      </c>
      <c r="F1906">
        <v>13</v>
      </c>
      <c r="G1906">
        <v>0</v>
      </c>
      <c r="H1906">
        <v>6</v>
      </c>
      <c r="I1906">
        <v>5</v>
      </c>
    </row>
    <row r="1907" spans="1:9" x14ac:dyDescent="0.25">
      <c r="A1907" s="18">
        <v>43546</v>
      </c>
      <c r="B1907">
        <v>4.66</v>
      </c>
      <c r="C1907">
        <v>7.0430000000000001</v>
      </c>
      <c r="D1907">
        <v>1.1000000000000001</v>
      </c>
      <c r="E1907">
        <v>41</v>
      </c>
      <c r="F1907">
        <v>13</v>
      </c>
      <c r="G1907">
        <v>0</v>
      </c>
      <c r="H1907">
        <v>29</v>
      </c>
      <c r="I1907">
        <v>6</v>
      </c>
    </row>
    <row r="1908" spans="1:9" x14ac:dyDescent="0.25">
      <c r="A1908" s="18">
        <v>43547</v>
      </c>
      <c r="B1908">
        <v>6</v>
      </c>
      <c r="C1908">
        <v>3.36</v>
      </c>
      <c r="D1908">
        <v>4.25</v>
      </c>
      <c r="E1908">
        <v>15.5</v>
      </c>
      <c r="F1908">
        <v>7</v>
      </c>
      <c r="G1908">
        <v>0</v>
      </c>
      <c r="H1908">
        <v>1</v>
      </c>
      <c r="I1908">
        <v>5</v>
      </c>
    </row>
    <row r="1909" spans="1:9" x14ac:dyDescent="0.25">
      <c r="A1909" s="18">
        <v>43548</v>
      </c>
      <c r="B1909">
        <v>6</v>
      </c>
      <c r="C1909">
        <v>2.67</v>
      </c>
      <c r="D1909">
        <v>3</v>
      </c>
      <c r="E1909">
        <v>43.2</v>
      </c>
      <c r="F1909">
        <v>6.2</v>
      </c>
      <c r="G1909">
        <v>1</v>
      </c>
      <c r="H1909">
        <v>16</v>
      </c>
      <c r="I1909">
        <v>10</v>
      </c>
    </row>
    <row r="1910" spans="1:9" x14ac:dyDescent="0.25">
      <c r="A1910" s="18">
        <v>43549</v>
      </c>
      <c r="B1910">
        <v>4.84</v>
      </c>
      <c r="C1910">
        <v>4.5229999999999997</v>
      </c>
      <c r="D1910">
        <v>6</v>
      </c>
      <c r="E1910">
        <v>27</v>
      </c>
      <c r="F1910">
        <v>11</v>
      </c>
      <c r="G1910">
        <v>1</v>
      </c>
      <c r="H1910">
        <v>6</v>
      </c>
      <c r="I1910">
        <v>6</v>
      </c>
    </row>
    <row r="1911" spans="1:9" x14ac:dyDescent="0.25">
      <c r="A1911" s="18">
        <v>43550</v>
      </c>
      <c r="B1911">
        <v>4</v>
      </c>
      <c r="C1911">
        <v>5.51</v>
      </c>
      <c r="D1911">
        <v>3</v>
      </c>
      <c r="E1911">
        <v>36</v>
      </c>
      <c r="F1911">
        <v>11</v>
      </c>
      <c r="G1911">
        <v>0</v>
      </c>
      <c r="H1911">
        <v>19</v>
      </c>
      <c r="I1911">
        <v>9</v>
      </c>
    </row>
    <row r="1912" spans="1:9" x14ac:dyDescent="0.25">
      <c r="A1912" s="18">
        <v>43551</v>
      </c>
      <c r="B1912">
        <v>6.34</v>
      </c>
      <c r="C1912">
        <v>7.7690000000000001</v>
      </c>
      <c r="D1912">
        <v>3</v>
      </c>
      <c r="E1912">
        <v>25.6</v>
      </c>
      <c r="F1912">
        <v>12</v>
      </c>
      <c r="G1912">
        <v>1</v>
      </c>
      <c r="H1912">
        <v>0</v>
      </c>
      <c r="I1912">
        <v>9</v>
      </c>
    </row>
    <row r="1913" spans="1:9" x14ac:dyDescent="0.25">
      <c r="A1913" s="18">
        <v>43552</v>
      </c>
      <c r="B1913">
        <v>1.33</v>
      </c>
      <c r="C1913">
        <v>6.43</v>
      </c>
      <c r="D1913">
        <v>1.4</v>
      </c>
      <c r="E1913">
        <v>14</v>
      </c>
      <c r="F1913">
        <v>6</v>
      </c>
      <c r="G1913">
        <v>0</v>
      </c>
      <c r="H1913">
        <v>7</v>
      </c>
      <c r="I1913">
        <v>1</v>
      </c>
    </row>
    <row r="1914" spans="1:9" x14ac:dyDescent="0.25">
      <c r="A1914" s="18">
        <v>43553</v>
      </c>
      <c r="B1914">
        <v>3</v>
      </c>
      <c r="C1914">
        <v>4.298</v>
      </c>
      <c r="D1914">
        <v>4</v>
      </c>
      <c r="E1914">
        <v>25.3</v>
      </c>
      <c r="F1914">
        <v>10</v>
      </c>
      <c r="G1914">
        <v>0</v>
      </c>
      <c r="H1914">
        <v>16</v>
      </c>
      <c r="I1914">
        <v>9.1999999999999993</v>
      </c>
    </row>
    <row r="1915" spans="1:9" x14ac:dyDescent="0.25">
      <c r="A1915" s="18">
        <v>43554</v>
      </c>
      <c r="B1915">
        <v>4.66</v>
      </c>
      <c r="C1915">
        <v>10.68</v>
      </c>
      <c r="D1915">
        <v>1.1000000000000001</v>
      </c>
      <c r="E1915">
        <v>18</v>
      </c>
      <c r="F1915">
        <v>11</v>
      </c>
      <c r="G1915">
        <v>1</v>
      </c>
      <c r="H1915">
        <v>0</v>
      </c>
      <c r="I1915">
        <v>6.1</v>
      </c>
    </row>
    <row r="1916" spans="1:9" x14ac:dyDescent="0.25">
      <c r="A1916" s="18">
        <v>43555</v>
      </c>
      <c r="B1916">
        <v>7</v>
      </c>
      <c r="C1916">
        <v>4.5640000000000001</v>
      </c>
      <c r="D1916">
        <v>1.5</v>
      </c>
      <c r="E1916">
        <v>27</v>
      </c>
      <c r="F1916">
        <v>8</v>
      </c>
      <c r="G1916">
        <v>1</v>
      </c>
      <c r="H1916">
        <v>5</v>
      </c>
      <c r="I1916">
        <v>9.1999999999999993</v>
      </c>
    </row>
    <row r="1917" spans="1:9" x14ac:dyDescent="0.25">
      <c r="A1917" s="18">
        <v>43556</v>
      </c>
      <c r="B1917">
        <v>3.01</v>
      </c>
      <c r="C1917">
        <v>1.7030000000000001</v>
      </c>
      <c r="D1917">
        <v>3</v>
      </c>
      <c r="E1917">
        <v>34.65</v>
      </c>
      <c r="F1917">
        <v>12</v>
      </c>
      <c r="G1917">
        <v>0</v>
      </c>
      <c r="H1917">
        <v>5</v>
      </c>
      <c r="I1917">
        <v>5</v>
      </c>
    </row>
    <row r="1918" spans="1:9" x14ac:dyDescent="0.25">
      <c r="A1918" s="18">
        <v>43557</v>
      </c>
      <c r="B1918">
        <v>7.67</v>
      </c>
      <c r="C1918">
        <v>1.33</v>
      </c>
      <c r="D1918">
        <v>3</v>
      </c>
      <c r="E1918">
        <v>24</v>
      </c>
      <c r="F1918">
        <v>7</v>
      </c>
      <c r="G1918">
        <v>0</v>
      </c>
      <c r="H1918">
        <v>10</v>
      </c>
      <c r="I1918">
        <v>8</v>
      </c>
    </row>
    <row r="1919" spans="1:9" x14ac:dyDescent="0.25">
      <c r="A1919" s="18">
        <v>43558</v>
      </c>
      <c r="B1919">
        <v>5.33</v>
      </c>
      <c r="C1919">
        <v>5.0990000000000002</v>
      </c>
      <c r="D1919">
        <v>1.5</v>
      </c>
      <c r="E1919">
        <v>18.3</v>
      </c>
      <c r="F1919">
        <v>12</v>
      </c>
      <c r="G1919">
        <v>0</v>
      </c>
      <c r="H1919">
        <v>4</v>
      </c>
      <c r="I1919">
        <v>9.3000000000000007</v>
      </c>
    </row>
    <row r="1920" spans="1:9" x14ac:dyDescent="0.25">
      <c r="A1920" s="18">
        <v>43559</v>
      </c>
      <c r="B1920">
        <v>4.5</v>
      </c>
      <c r="C1920">
        <v>2.226</v>
      </c>
      <c r="D1920">
        <v>8</v>
      </c>
      <c r="E1920">
        <v>39</v>
      </c>
      <c r="F1920">
        <v>8</v>
      </c>
      <c r="G1920">
        <v>1</v>
      </c>
      <c r="H1920">
        <v>13</v>
      </c>
      <c r="I1920">
        <v>15</v>
      </c>
    </row>
    <row r="1921" spans="1:9" x14ac:dyDescent="0.25">
      <c r="A1921" s="18">
        <v>43560</v>
      </c>
      <c r="B1921">
        <v>6.34</v>
      </c>
      <c r="C1921">
        <v>4.1980000000000004</v>
      </c>
      <c r="D1921">
        <v>4</v>
      </c>
      <c r="E1921">
        <v>25.2</v>
      </c>
      <c r="F1921">
        <v>7</v>
      </c>
      <c r="G1921">
        <v>0</v>
      </c>
      <c r="H1921">
        <v>3</v>
      </c>
      <c r="I1921">
        <v>4</v>
      </c>
    </row>
    <row r="1922" spans="1:9" x14ac:dyDescent="0.25">
      <c r="A1922" s="18">
        <v>43561</v>
      </c>
      <c r="B1922">
        <v>3.34</v>
      </c>
      <c r="C1922">
        <v>6.01</v>
      </c>
      <c r="D1922">
        <v>3</v>
      </c>
      <c r="E1922">
        <v>13.2</v>
      </c>
      <c r="F1922">
        <v>13</v>
      </c>
      <c r="G1922">
        <v>0</v>
      </c>
      <c r="H1922">
        <v>16</v>
      </c>
      <c r="I1922">
        <v>9.3000000000000007</v>
      </c>
    </row>
    <row r="1923" spans="1:9" x14ac:dyDescent="0.25">
      <c r="A1923" s="18">
        <v>43562</v>
      </c>
      <c r="B1923">
        <v>6</v>
      </c>
      <c r="C1923">
        <v>5.1189999999999998</v>
      </c>
      <c r="D1923">
        <v>4</v>
      </c>
      <c r="E1923">
        <v>19</v>
      </c>
      <c r="F1923">
        <v>3</v>
      </c>
      <c r="G1923">
        <v>0</v>
      </c>
      <c r="H1923">
        <v>0</v>
      </c>
      <c r="I1923">
        <v>7</v>
      </c>
    </row>
    <row r="1924" spans="1:9" x14ac:dyDescent="0.25">
      <c r="A1924" s="18">
        <v>43563</v>
      </c>
      <c r="B1924">
        <v>5</v>
      </c>
      <c r="C1924">
        <v>4.3499999999999996</v>
      </c>
      <c r="D1924">
        <v>3.3</v>
      </c>
      <c r="E1924">
        <v>10</v>
      </c>
      <c r="F1924">
        <v>8.1999999999999993</v>
      </c>
      <c r="G1924">
        <v>0</v>
      </c>
      <c r="H1924">
        <v>4</v>
      </c>
      <c r="I1924">
        <v>3</v>
      </c>
    </row>
    <row r="1925" spans="1:9" x14ac:dyDescent="0.25">
      <c r="A1925" s="18">
        <v>43564</v>
      </c>
      <c r="B1925">
        <v>2.83</v>
      </c>
      <c r="C1925">
        <v>2</v>
      </c>
      <c r="D1925">
        <v>1</v>
      </c>
      <c r="E1925">
        <v>12</v>
      </c>
      <c r="F1925">
        <v>10</v>
      </c>
      <c r="G1925">
        <v>0</v>
      </c>
      <c r="H1925">
        <v>3</v>
      </c>
      <c r="I1925">
        <v>5</v>
      </c>
    </row>
    <row r="1926" spans="1:9" x14ac:dyDescent="0.25">
      <c r="A1926" s="18">
        <v>43565</v>
      </c>
      <c r="B1926">
        <v>2.34</v>
      </c>
      <c r="C1926">
        <v>2.746</v>
      </c>
      <c r="D1926">
        <v>2</v>
      </c>
      <c r="E1926">
        <v>34</v>
      </c>
      <c r="F1926">
        <v>16.2</v>
      </c>
      <c r="G1926">
        <v>3</v>
      </c>
      <c r="H1926">
        <v>9</v>
      </c>
      <c r="I1926">
        <v>8</v>
      </c>
    </row>
    <row r="1927" spans="1:9" x14ac:dyDescent="0.25">
      <c r="A1927" s="18">
        <v>43566</v>
      </c>
      <c r="B1927">
        <v>7.33</v>
      </c>
      <c r="C1927">
        <v>6.1559999999999997</v>
      </c>
      <c r="D1927">
        <v>2</v>
      </c>
      <c r="E1927">
        <v>15.9</v>
      </c>
      <c r="F1927">
        <v>15</v>
      </c>
      <c r="G1927">
        <v>0</v>
      </c>
      <c r="H1927">
        <v>7</v>
      </c>
      <c r="I1927">
        <v>8</v>
      </c>
    </row>
    <row r="1928" spans="1:9" x14ac:dyDescent="0.25">
      <c r="A1928" s="18">
        <v>43567</v>
      </c>
      <c r="B1928">
        <v>4.33</v>
      </c>
      <c r="C1928">
        <v>4.3730000000000002</v>
      </c>
      <c r="D1928">
        <v>4.0999999999999996</v>
      </c>
      <c r="E1928">
        <v>16.600000000000001</v>
      </c>
      <c r="F1928">
        <v>16</v>
      </c>
      <c r="G1928">
        <v>0</v>
      </c>
      <c r="H1928">
        <v>6</v>
      </c>
      <c r="I1928">
        <v>7</v>
      </c>
    </row>
    <row r="1929" spans="1:9" x14ac:dyDescent="0.25">
      <c r="A1929" s="18">
        <v>43568</v>
      </c>
      <c r="B1929">
        <v>4.5</v>
      </c>
      <c r="C1929">
        <v>4.1340000000000003</v>
      </c>
      <c r="D1929">
        <v>1.1000000000000001</v>
      </c>
      <c r="E1929">
        <v>14</v>
      </c>
      <c r="F1929">
        <v>4</v>
      </c>
      <c r="G1929">
        <v>0</v>
      </c>
      <c r="H1929">
        <v>6</v>
      </c>
      <c r="I1929">
        <v>4</v>
      </c>
    </row>
    <row r="1930" spans="1:9" x14ac:dyDescent="0.25">
      <c r="A1930" s="18">
        <v>43569</v>
      </c>
      <c r="B1930">
        <v>4</v>
      </c>
      <c r="C1930">
        <v>4.4059999999999997</v>
      </c>
      <c r="D1930">
        <v>1</v>
      </c>
      <c r="E1930">
        <v>23</v>
      </c>
      <c r="F1930">
        <v>3</v>
      </c>
      <c r="G1930">
        <v>1</v>
      </c>
      <c r="H1930">
        <v>7</v>
      </c>
      <c r="I1930">
        <v>5.5</v>
      </c>
    </row>
    <row r="1931" spans="1:9" x14ac:dyDescent="0.25">
      <c r="A1931" s="18">
        <v>43570</v>
      </c>
      <c r="B1931">
        <v>4.66</v>
      </c>
      <c r="C1931">
        <v>6</v>
      </c>
      <c r="D1931">
        <v>5.3</v>
      </c>
      <c r="E1931">
        <v>8.8000000000000007</v>
      </c>
      <c r="F1931">
        <v>17</v>
      </c>
      <c r="G1931">
        <v>2</v>
      </c>
      <c r="H1931">
        <v>3</v>
      </c>
      <c r="I1931">
        <v>5</v>
      </c>
    </row>
    <row r="1932" spans="1:9" x14ac:dyDescent="0.25">
      <c r="A1932" s="18">
        <v>43571</v>
      </c>
      <c r="B1932">
        <v>2</v>
      </c>
      <c r="C1932">
        <v>2.67</v>
      </c>
      <c r="D1932">
        <v>2</v>
      </c>
      <c r="E1932">
        <v>27.2</v>
      </c>
      <c r="F1932">
        <v>12</v>
      </c>
      <c r="G1932">
        <v>3</v>
      </c>
      <c r="H1932">
        <v>1</v>
      </c>
      <c r="I1932">
        <v>3</v>
      </c>
    </row>
    <row r="1933" spans="1:9" x14ac:dyDescent="0.25">
      <c r="A1933" s="18">
        <v>43572</v>
      </c>
      <c r="B1933">
        <v>7</v>
      </c>
      <c r="C1933">
        <v>4</v>
      </c>
      <c r="D1933">
        <v>1.25</v>
      </c>
      <c r="E1933">
        <v>13.5</v>
      </c>
      <c r="F1933">
        <v>11</v>
      </c>
      <c r="G1933">
        <v>1</v>
      </c>
      <c r="H1933">
        <v>24</v>
      </c>
      <c r="I1933">
        <v>5</v>
      </c>
    </row>
    <row r="1934" spans="1:9" x14ac:dyDescent="0.25">
      <c r="A1934" s="18">
        <v>43573</v>
      </c>
      <c r="B1934">
        <v>1.68</v>
      </c>
      <c r="C1934">
        <v>6.43</v>
      </c>
      <c r="D1934">
        <v>2</v>
      </c>
      <c r="E1934">
        <v>15.9</v>
      </c>
      <c r="F1934">
        <v>15</v>
      </c>
      <c r="G1934">
        <v>0</v>
      </c>
      <c r="H1934">
        <v>0</v>
      </c>
      <c r="I1934">
        <v>4.5</v>
      </c>
    </row>
    <row r="1935" spans="1:9" x14ac:dyDescent="0.25">
      <c r="A1935" s="18">
        <v>43574</v>
      </c>
      <c r="B1935">
        <v>3.34</v>
      </c>
      <c r="C1935">
        <v>2.7429999999999999</v>
      </c>
      <c r="D1935">
        <v>1.5</v>
      </c>
      <c r="E1935">
        <v>25</v>
      </c>
      <c r="F1935">
        <v>17</v>
      </c>
      <c r="G1935">
        <v>0</v>
      </c>
      <c r="H1935">
        <v>6</v>
      </c>
      <c r="I1935">
        <v>2</v>
      </c>
    </row>
    <row r="1936" spans="1:9" x14ac:dyDescent="0.25">
      <c r="A1936" s="18">
        <v>43575</v>
      </c>
      <c r="B1936">
        <v>9</v>
      </c>
      <c r="C1936">
        <v>3.7690000000000001</v>
      </c>
      <c r="D1936">
        <v>1.5</v>
      </c>
      <c r="E1936">
        <v>22.4</v>
      </c>
      <c r="F1936">
        <v>12</v>
      </c>
      <c r="G1936">
        <v>3</v>
      </c>
      <c r="H1936">
        <v>0</v>
      </c>
      <c r="I1936">
        <v>6</v>
      </c>
    </row>
    <row r="1937" spans="1:9" x14ac:dyDescent="0.25">
      <c r="A1937" s="18">
        <v>43576</v>
      </c>
      <c r="B1937">
        <v>3.84</v>
      </c>
      <c r="C1937">
        <v>4.8449999999999998</v>
      </c>
      <c r="D1937">
        <v>3</v>
      </c>
      <c r="E1937">
        <v>21</v>
      </c>
      <c r="F1937">
        <v>11</v>
      </c>
      <c r="G1937">
        <v>0</v>
      </c>
      <c r="H1937">
        <v>2</v>
      </c>
      <c r="I1937">
        <v>12.2</v>
      </c>
    </row>
    <row r="1938" spans="1:9" x14ac:dyDescent="0.25">
      <c r="A1938" s="18">
        <v>43577</v>
      </c>
      <c r="B1938">
        <v>8.67</v>
      </c>
      <c r="C1938">
        <v>1.66</v>
      </c>
      <c r="D1938">
        <v>4.5</v>
      </c>
      <c r="E1938">
        <v>51</v>
      </c>
      <c r="F1938">
        <v>12</v>
      </c>
      <c r="G1938">
        <v>0</v>
      </c>
      <c r="H1938">
        <v>31</v>
      </c>
      <c r="I1938">
        <v>9</v>
      </c>
    </row>
    <row r="1939" spans="1:9" x14ac:dyDescent="0.25">
      <c r="A1939" s="18">
        <v>43578</v>
      </c>
      <c r="B1939">
        <v>9</v>
      </c>
      <c r="C1939">
        <v>0.34</v>
      </c>
      <c r="D1939">
        <v>6.1</v>
      </c>
      <c r="E1939">
        <v>18.399999999999999</v>
      </c>
      <c r="F1939">
        <v>6</v>
      </c>
      <c r="G1939">
        <v>1</v>
      </c>
      <c r="H1939">
        <v>4</v>
      </c>
      <c r="I1939">
        <v>2</v>
      </c>
    </row>
    <row r="1940" spans="1:9" x14ac:dyDescent="0.25">
      <c r="A1940" s="18">
        <v>43579</v>
      </c>
      <c r="B1940">
        <v>2.34</v>
      </c>
      <c r="C1940">
        <v>4.7469999999999999</v>
      </c>
      <c r="D1940">
        <v>3</v>
      </c>
      <c r="E1940">
        <v>39.1</v>
      </c>
      <c r="F1940">
        <v>13</v>
      </c>
      <c r="G1940">
        <v>3</v>
      </c>
      <c r="H1940">
        <v>12</v>
      </c>
      <c r="I1940">
        <v>2</v>
      </c>
    </row>
    <row r="1941" spans="1:9" x14ac:dyDescent="0.25">
      <c r="A1941" s="18">
        <v>43580</v>
      </c>
      <c r="B1941">
        <v>14.01</v>
      </c>
      <c r="C1941">
        <v>3.59</v>
      </c>
      <c r="D1941">
        <v>2</v>
      </c>
      <c r="E1941">
        <v>15</v>
      </c>
      <c r="F1941">
        <v>17</v>
      </c>
      <c r="G1941">
        <v>1</v>
      </c>
      <c r="H1941">
        <v>7</v>
      </c>
      <c r="I1941">
        <v>5.4</v>
      </c>
    </row>
    <row r="1942" spans="1:9" x14ac:dyDescent="0.25">
      <c r="A1942" s="18">
        <v>43581</v>
      </c>
      <c r="B1942">
        <v>6.34</v>
      </c>
      <c r="C1942">
        <v>1.68</v>
      </c>
      <c r="D1942">
        <v>3.25</v>
      </c>
      <c r="E1942">
        <v>32.6</v>
      </c>
      <c r="F1942">
        <v>6</v>
      </c>
      <c r="G1942">
        <v>0</v>
      </c>
      <c r="H1942">
        <v>1</v>
      </c>
      <c r="I1942">
        <v>11</v>
      </c>
    </row>
    <row r="1943" spans="1:9" x14ac:dyDescent="0.25">
      <c r="A1943" s="18">
        <v>43582</v>
      </c>
      <c r="B1943">
        <v>17.34</v>
      </c>
      <c r="C1943">
        <v>2.4969999999999999</v>
      </c>
      <c r="D1943">
        <v>3.1</v>
      </c>
      <c r="E1943">
        <v>25.2</v>
      </c>
      <c r="F1943">
        <v>13</v>
      </c>
      <c r="G1943">
        <v>1</v>
      </c>
      <c r="H1943">
        <v>7</v>
      </c>
      <c r="I1943">
        <v>7</v>
      </c>
    </row>
    <row r="1944" spans="1:9" x14ac:dyDescent="0.25">
      <c r="A1944" s="18">
        <v>43583</v>
      </c>
      <c r="B1944">
        <v>6.33</v>
      </c>
      <c r="C1944">
        <v>5.5279999999999996</v>
      </c>
      <c r="D1944">
        <v>6</v>
      </c>
      <c r="E1944">
        <v>25.5</v>
      </c>
      <c r="F1944">
        <v>3</v>
      </c>
      <c r="G1944">
        <v>0</v>
      </c>
      <c r="H1944">
        <v>7</v>
      </c>
      <c r="I1944">
        <v>7</v>
      </c>
    </row>
    <row r="1945" spans="1:9" x14ac:dyDescent="0.25">
      <c r="A1945" s="18">
        <v>43584</v>
      </c>
      <c r="B1945">
        <v>5.33</v>
      </c>
      <c r="C1945">
        <v>6.367</v>
      </c>
      <c r="D1945">
        <v>2.6</v>
      </c>
      <c r="E1945">
        <v>27.6</v>
      </c>
      <c r="F1945">
        <v>5</v>
      </c>
      <c r="G1945">
        <v>0</v>
      </c>
      <c r="H1945">
        <v>0</v>
      </c>
      <c r="I1945">
        <v>3</v>
      </c>
    </row>
    <row r="1946" spans="1:9" x14ac:dyDescent="0.25">
      <c r="A1946" s="18">
        <v>43585</v>
      </c>
      <c r="B1946">
        <v>2</v>
      </c>
      <c r="C1946">
        <v>1.407</v>
      </c>
      <c r="D1946">
        <v>8</v>
      </c>
      <c r="E1946">
        <v>22</v>
      </c>
      <c r="F1946">
        <v>13</v>
      </c>
      <c r="G1946">
        <v>2</v>
      </c>
      <c r="H1946">
        <v>28</v>
      </c>
      <c r="I1946">
        <v>8.4</v>
      </c>
    </row>
    <row r="1947" spans="1:9" x14ac:dyDescent="0.25">
      <c r="A1947" s="18">
        <v>43586</v>
      </c>
      <c r="B1947">
        <v>2.34</v>
      </c>
      <c r="C1947">
        <v>4.0199999999999996</v>
      </c>
      <c r="D1947">
        <v>1</v>
      </c>
      <c r="E1947">
        <v>8</v>
      </c>
      <c r="F1947">
        <v>1</v>
      </c>
      <c r="G1947">
        <v>0</v>
      </c>
      <c r="H1947">
        <v>1</v>
      </c>
      <c r="I1947">
        <v>3</v>
      </c>
    </row>
    <row r="1948" spans="1:9" x14ac:dyDescent="0.25">
      <c r="A1948" s="18">
        <v>43587</v>
      </c>
      <c r="B1948">
        <v>1.68</v>
      </c>
      <c r="C1948">
        <v>5.4290000000000003</v>
      </c>
      <c r="D1948">
        <v>5.5</v>
      </c>
      <c r="E1948">
        <v>20</v>
      </c>
      <c r="F1948">
        <v>15</v>
      </c>
      <c r="G1948">
        <v>1</v>
      </c>
      <c r="H1948">
        <v>3</v>
      </c>
      <c r="I1948">
        <v>9</v>
      </c>
    </row>
    <row r="1949" spans="1:9" x14ac:dyDescent="0.25">
      <c r="A1949" s="18">
        <v>43588</v>
      </c>
      <c r="B1949">
        <v>4.01</v>
      </c>
      <c r="C1949">
        <v>2.34</v>
      </c>
      <c r="D1949">
        <v>3</v>
      </c>
      <c r="E1949">
        <v>24</v>
      </c>
      <c r="F1949">
        <v>11</v>
      </c>
      <c r="G1949">
        <v>3</v>
      </c>
      <c r="H1949">
        <v>16</v>
      </c>
      <c r="I1949">
        <v>8</v>
      </c>
    </row>
    <row r="1950" spans="1:9" x14ac:dyDescent="0.25">
      <c r="A1950" s="18">
        <v>43589</v>
      </c>
      <c r="B1950">
        <v>9</v>
      </c>
      <c r="C1950">
        <v>5.43</v>
      </c>
      <c r="D1950">
        <v>4.25</v>
      </c>
      <c r="E1950">
        <v>25</v>
      </c>
      <c r="F1950">
        <v>5</v>
      </c>
      <c r="G1950">
        <v>1</v>
      </c>
      <c r="H1950">
        <v>16</v>
      </c>
      <c r="I1950">
        <v>9</v>
      </c>
    </row>
    <row r="1951" spans="1:9" x14ac:dyDescent="0.25">
      <c r="A1951" s="18">
        <v>43590</v>
      </c>
      <c r="B1951">
        <v>7</v>
      </c>
      <c r="C1951">
        <v>2.42</v>
      </c>
      <c r="D1951">
        <v>4.2</v>
      </c>
      <c r="E1951">
        <v>31</v>
      </c>
      <c r="F1951">
        <v>2</v>
      </c>
      <c r="G1951">
        <v>0</v>
      </c>
      <c r="H1951">
        <v>0</v>
      </c>
      <c r="I1951">
        <v>5</v>
      </c>
    </row>
    <row r="1952" spans="1:9" x14ac:dyDescent="0.25">
      <c r="A1952" s="18">
        <v>43591</v>
      </c>
      <c r="B1952">
        <v>4.68</v>
      </c>
      <c r="C1952">
        <v>6.6000000000000003E-2</v>
      </c>
      <c r="D1952">
        <v>2</v>
      </c>
      <c r="E1952">
        <v>23</v>
      </c>
      <c r="F1952">
        <v>11</v>
      </c>
      <c r="G1952">
        <v>2</v>
      </c>
      <c r="H1952">
        <v>9</v>
      </c>
      <c r="I1952">
        <v>3</v>
      </c>
    </row>
    <row r="1953" spans="1:9" x14ac:dyDescent="0.25">
      <c r="A1953" s="18">
        <v>43592</v>
      </c>
      <c r="B1953">
        <v>2.66</v>
      </c>
      <c r="C1953">
        <v>5.5190000000000001</v>
      </c>
      <c r="D1953">
        <v>1</v>
      </c>
      <c r="E1953">
        <v>33.4</v>
      </c>
      <c r="F1953">
        <v>19</v>
      </c>
      <c r="G1953">
        <v>0</v>
      </c>
      <c r="H1953">
        <v>6</v>
      </c>
      <c r="I1953">
        <v>5</v>
      </c>
    </row>
    <row r="1954" spans="1:9" x14ac:dyDescent="0.25">
      <c r="A1954" s="18">
        <v>43593</v>
      </c>
      <c r="B1954">
        <v>9</v>
      </c>
      <c r="C1954">
        <v>4.0330000000000004</v>
      </c>
      <c r="D1954">
        <v>3</v>
      </c>
      <c r="E1954">
        <v>13</v>
      </c>
      <c r="F1954">
        <v>15</v>
      </c>
      <c r="G1954">
        <v>2</v>
      </c>
      <c r="H1954">
        <v>20</v>
      </c>
      <c r="I1954">
        <v>0</v>
      </c>
    </row>
    <row r="1955" spans="1:9" x14ac:dyDescent="0.25">
      <c r="A1955" s="18">
        <v>43594</v>
      </c>
      <c r="B1955">
        <v>5</v>
      </c>
      <c r="C1955">
        <v>2.33</v>
      </c>
      <c r="D1955">
        <v>2.1</v>
      </c>
      <c r="E1955">
        <v>12.5</v>
      </c>
      <c r="F1955">
        <v>10</v>
      </c>
      <c r="G1955">
        <v>1</v>
      </c>
      <c r="H1955">
        <v>31</v>
      </c>
      <c r="I1955">
        <v>4</v>
      </c>
    </row>
    <row r="1956" spans="1:9" x14ac:dyDescent="0.25">
      <c r="A1956" s="18">
        <v>43595</v>
      </c>
      <c r="B1956">
        <v>5</v>
      </c>
      <c r="C1956">
        <v>1.34</v>
      </c>
      <c r="D1956">
        <v>5.5</v>
      </c>
      <c r="E1956">
        <v>11.6</v>
      </c>
      <c r="F1956">
        <v>13</v>
      </c>
      <c r="G1956">
        <v>2</v>
      </c>
      <c r="H1956">
        <v>26</v>
      </c>
      <c r="I1956">
        <v>2</v>
      </c>
    </row>
    <row r="1957" spans="1:9" x14ac:dyDescent="0.25">
      <c r="A1957" s="18">
        <v>43596</v>
      </c>
      <c r="B1957">
        <v>5.34</v>
      </c>
      <c r="C1957">
        <v>5</v>
      </c>
      <c r="D1957">
        <v>5.5</v>
      </c>
      <c r="E1957">
        <v>16.8</v>
      </c>
      <c r="F1957">
        <v>9</v>
      </c>
      <c r="G1957">
        <v>0</v>
      </c>
      <c r="H1957">
        <v>12</v>
      </c>
      <c r="I1957">
        <v>5</v>
      </c>
    </row>
    <row r="1958" spans="1:9" x14ac:dyDescent="0.25">
      <c r="A1958" s="18">
        <v>43597</v>
      </c>
      <c r="B1958">
        <v>4.67</v>
      </c>
      <c r="C1958">
        <v>1.68</v>
      </c>
      <c r="D1958">
        <v>3.1</v>
      </c>
      <c r="E1958">
        <v>38.799999999999997</v>
      </c>
      <c r="F1958">
        <v>2</v>
      </c>
      <c r="G1958">
        <v>1</v>
      </c>
      <c r="H1958">
        <v>19</v>
      </c>
      <c r="I1958">
        <v>5</v>
      </c>
    </row>
    <row r="1959" spans="1:9" x14ac:dyDescent="0.25">
      <c r="A1959" s="18">
        <v>43598</v>
      </c>
      <c r="B1959">
        <v>5</v>
      </c>
      <c r="C1959">
        <v>4.5270000000000001</v>
      </c>
      <c r="D1959">
        <v>2</v>
      </c>
      <c r="E1959">
        <v>26.2</v>
      </c>
      <c r="F1959">
        <v>11</v>
      </c>
      <c r="G1959">
        <v>0</v>
      </c>
      <c r="H1959">
        <v>11</v>
      </c>
      <c r="I1959">
        <v>3</v>
      </c>
    </row>
    <row r="1960" spans="1:9" x14ac:dyDescent="0.25">
      <c r="A1960" s="18">
        <v>43599</v>
      </c>
      <c r="B1960">
        <v>6.67</v>
      </c>
      <c r="C1960">
        <v>4.3630000000000004</v>
      </c>
      <c r="D1960">
        <v>4</v>
      </c>
      <c r="E1960">
        <v>25</v>
      </c>
      <c r="F1960">
        <v>5</v>
      </c>
      <c r="G1960">
        <v>0</v>
      </c>
      <c r="H1960">
        <v>11</v>
      </c>
      <c r="I1960">
        <v>3</v>
      </c>
    </row>
    <row r="1961" spans="1:9" x14ac:dyDescent="0.25">
      <c r="A1961" s="18">
        <v>43600</v>
      </c>
      <c r="B1961">
        <v>4</v>
      </c>
      <c r="C1961">
        <v>1.0660000000000001</v>
      </c>
      <c r="D1961">
        <v>4.1500000000000004</v>
      </c>
      <c r="E1961">
        <v>28.4</v>
      </c>
      <c r="F1961">
        <v>7</v>
      </c>
      <c r="G1961">
        <v>0</v>
      </c>
      <c r="H1961">
        <v>5</v>
      </c>
      <c r="I1961">
        <v>3</v>
      </c>
    </row>
    <row r="1962" spans="1:9" x14ac:dyDescent="0.25">
      <c r="A1962" s="18">
        <v>43601</v>
      </c>
      <c r="B1962">
        <v>5</v>
      </c>
      <c r="C1962">
        <v>1.0669999999999999</v>
      </c>
      <c r="D1962">
        <v>2</v>
      </c>
      <c r="E1962">
        <v>12</v>
      </c>
      <c r="F1962">
        <v>9</v>
      </c>
      <c r="G1962">
        <v>1</v>
      </c>
      <c r="H1962">
        <v>16.291666670000001</v>
      </c>
      <c r="I1962">
        <v>5</v>
      </c>
    </row>
    <row r="1963" spans="1:9" x14ac:dyDescent="0.25">
      <c r="A1963" s="18">
        <v>43602</v>
      </c>
      <c r="B1963">
        <v>2.66</v>
      </c>
      <c r="C1963">
        <v>1.66</v>
      </c>
      <c r="D1963">
        <v>2.4</v>
      </c>
      <c r="E1963">
        <v>28</v>
      </c>
      <c r="F1963">
        <v>18</v>
      </c>
      <c r="G1963">
        <v>2</v>
      </c>
      <c r="H1963">
        <v>4</v>
      </c>
      <c r="I1963">
        <v>2.2000000000000002</v>
      </c>
    </row>
    <row r="1964" spans="1:9" x14ac:dyDescent="0.25">
      <c r="A1964" s="18">
        <v>43603</v>
      </c>
      <c r="B1964">
        <v>10</v>
      </c>
      <c r="C1964">
        <v>0.34</v>
      </c>
      <c r="D1964">
        <v>5.0999999999999996</v>
      </c>
      <c r="E1964">
        <v>14</v>
      </c>
      <c r="F1964">
        <v>9</v>
      </c>
      <c r="G1964">
        <v>2</v>
      </c>
      <c r="H1964">
        <v>5</v>
      </c>
      <c r="I1964">
        <v>3</v>
      </c>
    </row>
    <row r="1965" spans="1:9" x14ac:dyDescent="0.25">
      <c r="A1965" s="18">
        <v>43604</v>
      </c>
      <c r="B1965">
        <v>6.67</v>
      </c>
      <c r="C1965">
        <v>5</v>
      </c>
      <c r="D1965">
        <v>4</v>
      </c>
      <c r="E1965">
        <v>26.4</v>
      </c>
      <c r="F1965">
        <v>9</v>
      </c>
      <c r="G1965">
        <v>0</v>
      </c>
      <c r="H1965">
        <v>9</v>
      </c>
      <c r="I1965">
        <v>4.2</v>
      </c>
    </row>
    <row r="1966" spans="1:9" x14ac:dyDescent="0.25">
      <c r="A1966" s="18">
        <v>43605</v>
      </c>
      <c r="B1966">
        <v>3.67</v>
      </c>
      <c r="C1966">
        <v>6.3959999999999999</v>
      </c>
      <c r="D1966">
        <v>5</v>
      </c>
      <c r="E1966">
        <v>21.3</v>
      </c>
      <c r="F1966">
        <v>11</v>
      </c>
      <c r="G1966">
        <v>4</v>
      </c>
      <c r="H1966">
        <v>13</v>
      </c>
      <c r="I1966">
        <v>5</v>
      </c>
    </row>
    <row r="1967" spans="1:9" x14ac:dyDescent="0.25">
      <c r="A1967" s="18">
        <v>43606</v>
      </c>
      <c r="B1967">
        <v>5.34</v>
      </c>
      <c r="C1967">
        <v>4</v>
      </c>
      <c r="D1967">
        <v>5.0999999999999996</v>
      </c>
      <c r="E1967">
        <v>17.600000000000001</v>
      </c>
      <c r="F1967">
        <v>12.2</v>
      </c>
      <c r="G1967">
        <v>0</v>
      </c>
      <c r="H1967">
        <v>1</v>
      </c>
      <c r="I1967">
        <v>7</v>
      </c>
    </row>
    <row r="1968" spans="1:9" x14ac:dyDescent="0.25">
      <c r="A1968" s="18">
        <v>43607</v>
      </c>
      <c r="B1968">
        <v>8.16</v>
      </c>
      <c r="C1968">
        <v>2.8359999999999999</v>
      </c>
      <c r="D1968">
        <v>3.15</v>
      </c>
      <c r="E1968">
        <v>28.2</v>
      </c>
      <c r="F1968">
        <v>8</v>
      </c>
      <c r="G1968">
        <v>0</v>
      </c>
      <c r="H1968">
        <v>9</v>
      </c>
      <c r="I1968">
        <v>5</v>
      </c>
    </row>
    <row r="1969" spans="1:9" x14ac:dyDescent="0.25">
      <c r="A1969" s="18">
        <v>43608</v>
      </c>
      <c r="B1969">
        <v>2.33</v>
      </c>
      <c r="C1969">
        <v>3.34</v>
      </c>
      <c r="D1969">
        <v>2</v>
      </c>
      <c r="E1969">
        <v>26.1</v>
      </c>
      <c r="F1969">
        <v>4</v>
      </c>
      <c r="G1969">
        <v>0</v>
      </c>
      <c r="H1969">
        <v>10</v>
      </c>
      <c r="I1969">
        <v>6</v>
      </c>
    </row>
    <row r="1970" spans="1:9" x14ac:dyDescent="0.25">
      <c r="A1970" s="18">
        <v>43609</v>
      </c>
      <c r="B1970">
        <v>5.34</v>
      </c>
      <c r="C1970">
        <v>3.7029999999999998</v>
      </c>
      <c r="D1970">
        <v>3</v>
      </c>
      <c r="E1970">
        <v>36.200000000000003</v>
      </c>
      <c r="F1970">
        <v>8</v>
      </c>
      <c r="G1970">
        <v>1</v>
      </c>
      <c r="H1970">
        <v>5</v>
      </c>
      <c r="I1970">
        <v>3</v>
      </c>
    </row>
    <row r="1971" spans="1:9" x14ac:dyDescent="0.25">
      <c r="A1971" s="18">
        <v>43610</v>
      </c>
      <c r="B1971">
        <v>11</v>
      </c>
      <c r="C1971">
        <v>3.34</v>
      </c>
      <c r="D1971">
        <v>4.0999999999999996</v>
      </c>
      <c r="E1971">
        <v>35</v>
      </c>
      <c r="F1971">
        <v>4</v>
      </c>
      <c r="G1971">
        <v>0</v>
      </c>
      <c r="H1971">
        <v>16</v>
      </c>
      <c r="I1971">
        <v>2</v>
      </c>
    </row>
    <row r="1972" spans="1:9" x14ac:dyDescent="0.25">
      <c r="A1972" s="18">
        <v>43611</v>
      </c>
      <c r="B1972">
        <v>6.33</v>
      </c>
      <c r="C1972">
        <v>5.31</v>
      </c>
      <c r="D1972">
        <v>2</v>
      </c>
      <c r="E1972">
        <v>30</v>
      </c>
      <c r="F1972">
        <v>2.6</v>
      </c>
      <c r="G1972">
        <v>0</v>
      </c>
      <c r="H1972">
        <v>11</v>
      </c>
      <c r="I1972">
        <v>6</v>
      </c>
    </row>
    <row r="1973" spans="1:9" x14ac:dyDescent="0.25">
      <c r="A1973" s="18">
        <v>43612</v>
      </c>
      <c r="B1973">
        <v>4.67</v>
      </c>
      <c r="C1973">
        <v>0.67</v>
      </c>
      <c r="D1973">
        <v>1.2</v>
      </c>
      <c r="E1973">
        <v>19</v>
      </c>
      <c r="F1973">
        <v>8</v>
      </c>
      <c r="G1973">
        <v>0</v>
      </c>
      <c r="H1973">
        <v>0</v>
      </c>
      <c r="I1973">
        <v>2</v>
      </c>
    </row>
    <row r="1974" spans="1:9" x14ac:dyDescent="0.25">
      <c r="A1974" s="18">
        <v>43613</v>
      </c>
      <c r="B1974">
        <v>4.33</v>
      </c>
      <c r="C1974">
        <v>3.99</v>
      </c>
      <c r="D1974">
        <v>6.3</v>
      </c>
      <c r="E1974">
        <v>18.2</v>
      </c>
      <c r="F1974">
        <v>10</v>
      </c>
      <c r="G1974">
        <v>2</v>
      </c>
      <c r="H1974">
        <v>5</v>
      </c>
      <c r="I1974">
        <v>6</v>
      </c>
    </row>
    <row r="1975" spans="1:9" x14ac:dyDescent="0.25">
      <c r="A1975" s="18">
        <v>43614</v>
      </c>
      <c r="B1975">
        <v>5.5</v>
      </c>
      <c r="C1975">
        <v>2.34</v>
      </c>
      <c r="D1975">
        <v>4.05</v>
      </c>
      <c r="E1975">
        <v>15</v>
      </c>
      <c r="F1975">
        <v>10</v>
      </c>
      <c r="G1975">
        <v>1</v>
      </c>
      <c r="H1975">
        <v>0</v>
      </c>
      <c r="I1975">
        <v>3</v>
      </c>
    </row>
    <row r="1976" spans="1:9" x14ac:dyDescent="0.25">
      <c r="A1976" s="18">
        <v>43615</v>
      </c>
      <c r="B1976">
        <v>5</v>
      </c>
      <c r="C1976">
        <v>0.34</v>
      </c>
      <c r="D1976">
        <v>3.4</v>
      </c>
      <c r="E1976">
        <v>17.2</v>
      </c>
      <c r="F1976">
        <v>5</v>
      </c>
      <c r="G1976">
        <v>0</v>
      </c>
      <c r="H1976">
        <v>6</v>
      </c>
      <c r="I1976">
        <v>4</v>
      </c>
    </row>
    <row r="1977" spans="1:9" x14ac:dyDescent="0.25">
      <c r="A1977" s="18">
        <v>43616</v>
      </c>
      <c r="B1977">
        <v>5.99</v>
      </c>
      <c r="C1977">
        <v>3.363</v>
      </c>
      <c r="D1977">
        <v>1</v>
      </c>
      <c r="E1977">
        <v>22.661999999999999</v>
      </c>
      <c r="F1977">
        <v>2</v>
      </c>
      <c r="G1977">
        <v>0</v>
      </c>
      <c r="H1977">
        <v>2</v>
      </c>
      <c r="I1977">
        <v>5</v>
      </c>
    </row>
    <row r="1978" spans="1:9" x14ac:dyDescent="0.25">
      <c r="A1978" s="18">
        <v>43617</v>
      </c>
      <c r="B1978">
        <v>3</v>
      </c>
      <c r="C1978">
        <v>1.34</v>
      </c>
      <c r="D1978">
        <v>6</v>
      </c>
      <c r="E1978">
        <v>21.4</v>
      </c>
      <c r="F1978">
        <v>1</v>
      </c>
      <c r="G1978">
        <v>0</v>
      </c>
      <c r="H1978">
        <v>8</v>
      </c>
      <c r="I1978">
        <v>4</v>
      </c>
    </row>
    <row r="1979" spans="1:9" x14ac:dyDescent="0.25">
      <c r="A1979" s="18">
        <v>43618</v>
      </c>
      <c r="B1979">
        <v>4</v>
      </c>
      <c r="C1979">
        <v>2.66</v>
      </c>
      <c r="D1979">
        <v>3.05</v>
      </c>
      <c r="E1979">
        <v>28</v>
      </c>
      <c r="F1979">
        <v>4</v>
      </c>
      <c r="G1979">
        <v>1</v>
      </c>
      <c r="H1979">
        <v>6</v>
      </c>
      <c r="I1979">
        <v>4</v>
      </c>
    </row>
    <row r="1980" spans="1:9" x14ac:dyDescent="0.25">
      <c r="A1980" s="18">
        <v>43619</v>
      </c>
      <c r="B1980">
        <v>0.33</v>
      </c>
      <c r="C1980">
        <v>2.5049999999999999</v>
      </c>
      <c r="D1980">
        <v>4</v>
      </c>
      <c r="E1980">
        <v>15.4</v>
      </c>
      <c r="F1980">
        <v>4</v>
      </c>
      <c r="G1980">
        <v>0</v>
      </c>
      <c r="H1980">
        <v>5</v>
      </c>
      <c r="I1980">
        <v>10</v>
      </c>
    </row>
    <row r="1981" spans="1:9" x14ac:dyDescent="0.25">
      <c r="A1981" s="18">
        <v>43620</v>
      </c>
      <c r="B1981">
        <v>6.34</v>
      </c>
      <c r="C1981">
        <v>2.823</v>
      </c>
      <c r="D1981">
        <v>5.35</v>
      </c>
      <c r="E1981">
        <v>28.2</v>
      </c>
      <c r="F1981">
        <v>9</v>
      </c>
      <c r="G1981">
        <v>1</v>
      </c>
      <c r="H1981">
        <v>12</v>
      </c>
      <c r="I1981">
        <v>5</v>
      </c>
    </row>
    <row r="1982" spans="1:9" x14ac:dyDescent="0.25">
      <c r="A1982" s="18">
        <v>43621</v>
      </c>
      <c r="B1982">
        <v>5</v>
      </c>
      <c r="C1982">
        <v>1.77</v>
      </c>
      <c r="D1982">
        <v>2.1</v>
      </c>
      <c r="E1982">
        <v>26.1</v>
      </c>
      <c r="F1982">
        <v>7</v>
      </c>
      <c r="G1982">
        <v>0</v>
      </c>
      <c r="H1982">
        <v>1</v>
      </c>
      <c r="I1982">
        <v>2</v>
      </c>
    </row>
    <row r="1983" spans="1:9" x14ac:dyDescent="0.25">
      <c r="A1983" s="18">
        <v>43622</v>
      </c>
      <c r="B1983">
        <v>7.67</v>
      </c>
      <c r="C1983">
        <v>2.0760000000000001</v>
      </c>
      <c r="D1983">
        <v>6.35</v>
      </c>
      <c r="E1983">
        <v>27</v>
      </c>
      <c r="F1983">
        <v>7</v>
      </c>
      <c r="G1983">
        <v>2</v>
      </c>
      <c r="H1983">
        <v>11</v>
      </c>
      <c r="I1983">
        <v>4</v>
      </c>
    </row>
    <row r="1984" spans="1:9" x14ac:dyDescent="0.25">
      <c r="A1984" s="18">
        <v>43623</v>
      </c>
      <c r="B1984">
        <v>6</v>
      </c>
      <c r="C1984">
        <v>2.67</v>
      </c>
      <c r="D1984">
        <v>2</v>
      </c>
      <c r="E1984">
        <v>22</v>
      </c>
      <c r="F1984">
        <v>6</v>
      </c>
      <c r="G1984">
        <v>0</v>
      </c>
      <c r="H1984">
        <v>16</v>
      </c>
      <c r="I1984">
        <v>0</v>
      </c>
    </row>
    <row r="1985" spans="1:9" x14ac:dyDescent="0.25">
      <c r="A1985" s="18">
        <v>43624</v>
      </c>
      <c r="B1985">
        <v>3</v>
      </c>
      <c r="C1985">
        <v>3.66</v>
      </c>
      <c r="D1985">
        <v>1</v>
      </c>
      <c r="E1985">
        <v>22.4</v>
      </c>
      <c r="F1985">
        <v>12</v>
      </c>
      <c r="G1985">
        <v>0</v>
      </c>
      <c r="H1985">
        <v>0</v>
      </c>
      <c r="I1985">
        <v>2.1</v>
      </c>
    </row>
    <row r="1986" spans="1:9" x14ac:dyDescent="0.25">
      <c r="A1986" s="18">
        <v>43625</v>
      </c>
      <c r="B1986">
        <v>9.33</v>
      </c>
      <c r="C1986">
        <v>1.0329999999999999</v>
      </c>
      <c r="D1986">
        <v>8</v>
      </c>
      <c r="E1986">
        <v>16.5</v>
      </c>
      <c r="F1986">
        <v>7</v>
      </c>
      <c r="G1986">
        <v>4</v>
      </c>
      <c r="H1986">
        <v>0</v>
      </c>
      <c r="I1986">
        <v>5</v>
      </c>
    </row>
    <row r="1987" spans="1:9" x14ac:dyDescent="0.25">
      <c r="A1987" s="18">
        <v>43626</v>
      </c>
      <c r="B1987">
        <v>3</v>
      </c>
      <c r="C1987">
        <v>1.34</v>
      </c>
      <c r="D1987">
        <v>2</v>
      </c>
      <c r="E1987">
        <v>15</v>
      </c>
      <c r="F1987">
        <v>7</v>
      </c>
      <c r="G1987">
        <v>0</v>
      </c>
      <c r="H1987">
        <v>6</v>
      </c>
      <c r="I1987">
        <v>12</v>
      </c>
    </row>
    <row r="1988" spans="1:9" x14ac:dyDescent="0.25">
      <c r="A1988" s="18">
        <v>43627</v>
      </c>
      <c r="B1988">
        <v>11.34</v>
      </c>
      <c r="C1988">
        <v>3.33</v>
      </c>
      <c r="D1988">
        <v>10.5</v>
      </c>
      <c r="E1988">
        <v>25</v>
      </c>
      <c r="F1988">
        <v>9</v>
      </c>
      <c r="G1988">
        <v>0</v>
      </c>
      <c r="H1988">
        <v>7</v>
      </c>
      <c r="I1988">
        <v>6</v>
      </c>
    </row>
    <row r="1989" spans="1:9" x14ac:dyDescent="0.25">
      <c r="A1989" s="18">
        <v>43628</v>
      </c>
      <c r="B1989">
        <v>8</v>
      </c>
      <c r="C1989">
        <v>3.4060000000000001</v>
      </c>
      <c r="D1989">
        <v>1</v>
      </c>
      <c r="E1989">
        <v>16.2</v>
      </c>
      <c r="F1989">
        <v>11</v>
      </c>
      <c r="G1989">
        <v>0</v>
      </c>
      <c r="H1989">
        <v>1</v>
      </c>
      <c r="I1989">
        <v>7</v>
      </c>
    </row>
    <row r="1990" spans="1:9" x14ac:dyDescent="0.25">
      <c r="A1990" s="18">
        <v>43629</v>
      </c>
      <c r="B1990">
        <v>0.68</v>
      </c>
      <c r="C1990">
        <v>3.02</v>
      </c>
      <c r="D1990">
        <v>0.25</v>
      </c>
      <c r="E1990">
        <v>19.399999999999999</v>
      </c>
      <c r="F1990">
        <v>2</v>
      </c>
      <c r="G1990">
        <v>0</v>
      </c>
      <c r="H1990">
        <v>2</v>
      </c>
      <c r="I1990">
        <v>9</v>
      </c>
    </row>
    <row r="1991" spans="1:9" x14ac:dyDescent="0.25">
      <c r="A1991" s="18">
        <v>43630</v>
      </c>
      <c r="B1991">
        <v>3.18</v>
      </c>
      <c r="C1991">
        <v>3.35</v>
      </c>
      <c r="D1991">
        <v>3</v>
      </c>
      <c r="E1991">
        <v>15</v>
      </c>
      <c r="F1991">
        <v>2</v>
      </c>
      <c r="G1991">
        <v>1</v>
      </c>
      <c r="H1991">
        <v>0</v>
      </c>
      <c r="I1991">
        <v>6</v>
      </c>
    </row>
    <row r="1992" spans="1:9" x14ac:dyDescent="0.25">
      <c r="A1992" s="18">
        <v>43631</v>
      </c>
      <c r="B1992">
        <v>7</v>
      </c>
      <c r="C1992">
        <v>3.4630000000000001</v>
      </c>
      <c r="D1992">
        <v>5</v>
      </c>
      <c r="E1992">
        <v>15</v>
      </c>
      <c r="F1992">
        <v>13</v>
      </c>
      <c r="G1992">
        <v>0</v>
      </c>
      <c r="H1992">
        <v>7</v>
      </c>
      <c r="I1992">
        <v>8</v>
      </c>
    </row>
    <row r="1993" spans="1:9" x14ac:dyDescent="0.25">
      <c r="A1993" s="18">
        <v>43632</v>
      </c>
      <c r="B1993">
        <v>4</v>
      </c>
      <c r="C1993">
        <v>5.35</v>
      </c>
      <c r="D1993">
        <v>3</v>
      </c>
      <c r="E1993">
        <v>18</v>
      </c>
      <c r="F1993">
        <v>2</v>
      </c>
      <c r="G1993">
        <v>0</v>
      </c>
      <c r="H1993">
        <v>0</v>
      </c>
      <c r="I1993">
        <v>9</v>
      </c>
    </row>
    <row r="1994" spans="1:9" x14ac:dyDescent="0.25">
      <c r="A1994" s="18">
        <v>43633</v>
      </c>
      <c r="B1994">
        <v>6.66</v>
      </c>
      <c r="C1994">
        <v>4.66</v>
      </c>
      <c r="D1994">
        <v>3</v>
      </c>
      <c r="E1994">
        <v>18</v>
      </c>
      <c r="F1994">
        <v>6</v>
      </c>
      <c r="G1994">
        <v>0</v>
      </c>
      <c r="H1994">
        <v>2</v>
      </c>
      <c r="I1994">
        <v>2.34</v>
      </c>
    </row>
    <row r="1995" spans="1:9" x14ac:dyDescent="0.25">
      <c r="A1995" s="18">
        <v>43634</v>
      </c>
      <c r="B1995">
        <v>5</v>
      </c>
      <c r="C1995">
        <v>4.21</v>
      </c>
      <c r="D1995">
        <v>3</v>
      </c>
      <c r="E1995">
        <v>29.5</v>
      </c>
      <c r="F1995">
        <v>8</v>
      </c>
      <c r="G1995">
        <v>0</v>
      </c>
      <c r="H1995">
        <v>2</v>
      </c>
      <c r="I1995">
        <v>12.1</v>
      </c>
    </row>
    <row r="1996" spans="1:9" x14ac:dyDescent="0.25">
      <c r="A1996" s="18">
        <v>43635</v>
      </c>
      <c r="B1996">
        <v>3.67</v>
      </c>
      <c r="C1996">
        <v>3.0329999999999999</v>
      </c>
      <c r="D1996">
        <v>3</v>
      </c>
      <c r="E1996">
        <v>18</v>
      </c>
      <c r="F1996">
        <v>6</v>
      </c>
      <c r="G1996">
        <v>1</v>
      </c>
      <c r="H1996">
        <v>2</v>
      </c>
      <c r="I1996">
        <v>5.5</v>
      </c>
    </row>
    <row r="1997" spans="1:9" x14ac:dyDescent="0.25">
      <c r="A1997" s="18">
        <v>43636</v>
      </c>
      <c r="B1997">
        <v>5</v>
      </c>
      <c r="C1997">
        <v>4.3630000000000004</v>
      </c>
      <c r="D1997">
        <v>3</v>
      </c>
      <c r="E1997">
        <v>15</v>
      </c>
      <c r="F1997">
        <v>9</v>
      </c>
      <c r="G1997">
        <v>4</v>
      </c>
      <c r="H1997">
        <v>0</v>
      </c>
      <c r="I1997">
        <v>4</v>
      </c>
    </row>
    <row r="1998" spans="1:9" x14ac:dyDescent="0.25">
      <c r="A1998" s="18">
        <v>43637</v>
      </c>
      <c r="B1998">
        <v>3</v>
      </c>
      <c r="C1998">
        <v>2.33</v>
      </c>
      <c r="D1998">
        <v>3</v>
      </c>
      <c r="E1998">
        <v>24.8</v>
      </c>
      <c r="F1998">
        <v>8</v>
      </c>
      <c r="G1998">
        <v>3</v>
      </c>
      <c r="H1998">
        <v>4</v>
      </c>
      <c r="I1998">
        <v>6</v>
      </c>
    </row>
    <row r="1999" spans="1:9" x14ac:dyDescent="0.25">
      <c r="A1999" s="18">
        <v>43638</v>
      </c>
      <c r="B1999">
        <v>3</v>
      </c>
      <c r="C1999">
        <v>4</v>
      </c>
      <c r="D1999">
        <v>0</v>
      </c>
      <c r="E1999">
        <v>25</v>
      </c>
      <c r="F1999">
        <v>11</v>
      </c>
      <c r="G1999">
        <v>2</v>
      </c>
      <c r="H1999">
        <v>12</v>
      </c>
      <c r="I1999">
        <v>5</v>
      </c>
    </row>
    <row r="2000" spans="1:9" x14ac:dyDescent="0.25">
      <c r="A2000" s="18">
        <v>43639</v>
      </c>
      <c r="B2000">
        <v>9.33</v>
      </c>
      <c r="C2000">
        <v>4.7919999999999998</v>
      </c>
      <c r="D2000">
        <v>5.5</v>
      </c>
      <c r="E2000">
        <v>18.2</v>
      </c>
      <c r="F2000">
        <v>1</v>
      </c>
      <c r="G2000">
        <v>0</v>
      </c>
      <c r="H2000">
        <v>10</v>
      </c>
      <c r="I2000">
        <v>1</v>
      </c>
    </row>
    <row r="2001" spans="1:9" x14ac:dyDescent="0.25">
      <c r="A2001" s="18">
        <v>43640</v>
      </c>
      <c r="B2001">
        <v>10</v>
      </c>
      <c r="C2001">
        <v>4.68</v>
      </c>
      <c r="D2001">
        <v>3.1</v>
      </c>
      <c r="E2001">
        <v>19</v>
      </c>
      <c r="F2001">
        <v>9</v>
      </c>
      <c r="G2001">
        <v>3</v>
      </c>
      <c r="H2001">
        <v>3</v>
      </c>
      <c r="I2001">
        <v>7</v>
      </c>
    </row>
    <row r="2002" spans="1:9" x14ac:dyDescent="0.25">
      <c r="A2002" s="18">
        <v>43641</v>
      </c>
      <c r="B2002">
        <v>2.34</v>
      </c>
      <c r="C2002">
        <v>2.6379999999999999</v>
      </c>
      <c r="D2002">
        <v>5</v>
      </c>
      <c r="E2002">
        <v>12</v>
      </c>
      <c r="F2002">
        <v>10</v>
      </c>
      <c r="G2002">
        <v>1</v>
      </c>
      <c r="H2002">
        <v>0</v>
      </c>
      <c r="I2002">
        <v>3</v>
      </c>
    </row>
    <row r="2003" spans="1:9" x14ac:dyDescent="0.25">
      <c r="A2003" s="18">
        <v>43642</v>
      </c>
      <c r="B2003">
        <v>2</v>
      </c>
      <c r="C2003">
        <v>3.44</v>
      </c>
      <c r="D2003">
        <v>1</v>
      </c>
      <c r="E2003">
        <v>11.6</v>
      </c>
      <c r="F2003">
        <v>5</v>
      </c>
      <c r="G2003">
        <v>1</v>
      </c>
      <c r="H2003">
        <v>0</v>
      </c>
      <c r="I2003">
        <v>5</v>
      </c>
    </row>
    <row r="2004" spans="1:9" x14ac:dyDescent="0.25">
      <c r="A2004" s="18">
        <v>43643</v>
      </c>
      <c r="B2004">
        <v>8.16</v>
      </c>
      <c r="C2004">
        <v>6.33</v>
      </c>
      <c r="D2004">
        <v>4</v>
      </c>
      <c r="E2004">
        <v>15</v>
      </c>
      <c r="F2004">
        <v>5</v>
      </c>
      <c r="G2004">
        <v>1</v>
      </c>
      <c r="H2004">
        <v>7</v>
      </c>
      <c r="I2004">
        <v>2</v>
      </c>
    </row>
    <row r="2005" spans="1:9" x14ac:dyDescent="0.25">
      <c r="A2005" s="18">
        <v>43644</v>
      </c>
      <c r="B2005">
        <v>4.33</v>
      </c>
      <c r="C2005">
        <v>1.496</v>
      </c>
      <c r="D2005">
        <v>2</v>
      </c>
      <c r="E2005">
        <v>15</v>
      </c>
      <c r="F2005">
        <v>5</v>
      </c>
      <c r="G2005">
        <v>0</v>
      </c>
      <c r="H2005">
        <v>2</v>
      </c>
      <c r="I2005">
        <v>3</v>
      </c>
    </row>
    <row r="2006" spans="1:9" x14ac:dyDescent="0.25">
      <c r="A2006" s="18">
        <v>43645</v>
      </c>
      <c r="B2006">
        <v>1.18</v>
      </c>
      <c r="C2006">
        <v>5.7</v>
      </c>
      <c r="D2006">
        <v>5</v>
      </c>
      <c r="E2006">
        <v>18.3</v>
      </c>
      <c r="F2006">
        <v>2</v>
      </c>
      <c r="G2006">
        <v>0</v>
      </c>
      <c r="H2006">
        <v>5</v>
      </c>
      <c r="I2006">
        <v>2</v>
      </c>
    </row>
    <row r="2007" spans="1:9" x14ac:dyDescent="0.25">
      <c r="A2007" s="18">
        <v>43646</v>
      </c>
      <c r="B2007">
        <v>6</v>
      </c>
      <c r="C2007">
        <v>6.1589999999999998</v>
      </c>
      <c r="D2007">
        <v>0</v>
      </c>
      <c r="E2007">
        <v>40</v>
      </c>
      <c r="F2007">
        <v>5</v>
      </c>
      <c r="G2007">
        <v>0</v>
      </c>
      <c r="H2007">
        <v>11</v>
      </c>
      <c r="I2007">
        <v>5</v>
      </c>
    </row>
    <row r="2008" spans="1:9" x14ac:dyDescent="0.25">
      <c r="A2008" s="18">
        <v>43647</v>
      </c>
      <c r="B2008">
        <v>5.33</v>
      </c>
      <c r="C2008">
        <v>2</v>
      </c>
      <c r="D2008">
        <v>1</v>
      </c>
      <c r="E2008">
        <v>14</v>
      </c>
      <c r="F2008">
        <v>7</v>
      </c>
      <c r="G2008">
        <v>0</v>
      </c>
      <c r="H2008">
        <v>8</v>
      </c>
      <c r="I2008">
        <v>4</v>
      </c>
    </row>
    <row r="2009" spans="1:9" x14ac:dyDescent="0.25">
      <c r="A2009" s="18">
        <v>43648</v>
      </c>
      <c r="B2009">
        <v>5.66</v>
      </c>
      <c r="C2009">
        <v>3.012</v>
      </c>
      <c r="D2009">
        <v>4</v>
      </c>
      <c r="E2009">
        <v>14</v>
      </c>
      <c r="F2009">
        <v>9</v>
      </c>
      <c r="G2009">
        <v>0</v>
      </c>
      <c r="H2009">
        <v>1</v>
      </c>
      <c r="I2009">
        <v>4.3</v>
      </c>
    </row>
    <row r="2010" spans="1:9" x14ac:dyDescent="0.25">
      <c r="A2010" s="18">
        <v>43649</v>
      </c>
      <c r="B2010">
        <v>4</v>
      </c>
      <c r="C2010">
        <v>2.8490000000000002</v>
      </c>
      <c r="D2010">
        <v>4</v>
      </c>
      <c r="E2010">
        <v>30.05</v>
      </c>
      <c r="F2010">
        <v>9</v>
      </c>
      <c r="G2010">
        <v>0</v>
      </c>
      <c r="H2010">
        <v>1</v>
      </c>
      <c r="I2010">
        <v>4</v>
      </c>
    </row>
    <row r="2011" spans="1:9" x14ac:dyDescent="0.25">
      <c r="A2011" s="18">
        <v>43650</v>
      </c>
      <c r="B2011">
        <v>5.33</v>
      </c>
      <c r="C2011">
        <v>1.67</v>
      </c>
      <c r="D2011">
        <v>0</v>
      </c>
      <c r="E2011">
        <v>13</v>
      </c>
      <c r="F2011">
        <v>7</v>
      </c>
      <c r="G2011">
        <v>1</v>
      </c>
      <c r="H2011">
        <v>3</v>
      </c>
      <c r="I2011">
        <v>6.5</v>
      </c>
    </row>
    <row r="2012" spans="1:9" x14ac:dyDescent="0.25">
      <c r="A2012" s="18">
        <v>43651</v>
      </c>
      <c r="B2012">
        <v>4.33</v>
      </c>
      <c r="C2012">
        <v>3.08</v>
      </c>
      <c r="D2012">
        <v>4</v>
      </c>
      <c r="E2012">
        <v>20</v>
      </c>
      <c r="F2012">
        <v>11</v>
      </c>
      <c r="G2012">
        <v>0</v>
      </c>
      <c r="H2012">
        <v>0</v>
      </c>
      <c r="I2012">
        <v>2</v>
      </c>
    </row>
    <row r="2013" spans="1:9" x14ac:dyDescent="0.25">
      <c r="A2013" s="18">
        <v>43652</v>
      </c>
      <c r="B2013">
        <v>4.34</v>
      </c>
      <c r="C2013">
        <v>1.7030000000000001</v>
      </c>
      <c r="D2013">
        <v>3</v>
      </c>
      <c r="E2013">
        <v>16</v>
      </c>
      <c r="F2013">
        <v>2</v>
      </c>
      <c r="G2013">
        <v>0</v>
      </c>
      <c r="H2013">
        <v>1</v>
      </c>
      <c r="I2013">
        <v>3</v>
      </c>
    </row>
    <row r="2014" spans="1:9" x14ac:dyDescent="0.25">
      <c r="A2014" s="18">
        <v>43653</v>
      </c>
      <c r="B2014">
        <v>5.66</v>
      </c>
      <c r="C2014">
        <v>6.4630000000000001</v>
      </c>
      <c r="D2014">
        <v>3</v>
      </c>
      <c r="E2014">
        <v>25</v>
      </c>
      <c r="F2014">
        <v>2</v>
      </c>
      <c r="G2014">
        <v>0</v>
      </c>
      <c r="H2014">
        <v>3</v>
      </c>
      <c r="I2014">
        <v>5</v>
      </c>
    </row>
    <row r="2015" spans="1:9" x14ac:dyDescent="0.25">
      <c r="A2015" s="18">
        <v>43654</v>
      </c>
      <c r="B2015">
        <v>6</v>
      </c>
      <c r="C2015">
        <v>4.3730000000000002</v>
      </c>
      <c r="D2015">
        <v>2</v>
      </c>
      <c r="E2015">
        <v>21.4</v>
      </c>
      <c r="F2015">
        <v>9.1999999999999993</v>
      </c>
      <c r="G2015">
        <v>1</v>
      </c>
      <c r="H2015">
        <v>4</v>
      </c>
      <c r="I2015">
        <v>4</v>
      </c>
    </row>
    <row r="2016" spans="1:9" x14ac:dyDescent="0.25">
      <c r="A2016" s="18">
        <v>43655</v>
      </c>
      <c r="B2016">
        <v>2.67</v>
      </c>
      <c r="C2016">
        <v>2.7029999999999998</v>
      </c>
      <c r="D2016">
        <v>8</v>
      </c>
      <c r="E2016">
        <v>15</v>
      </c>
      <c r="F2016">
        <v>12</v>
      </c>
      <c r="G2016">
        <v>4</v>
      </c>
      <c r="H2016">
        <v>3</v>
      </c>
      <c r="I2016">
        <v>2</v>
      </c>
    </row>
    <row r="2017" spans="1:9" x14ac:dyDescent="0.25">
      <c r="A2017" s="18">
        <v>43656</v>
      </c>
      <c r="B2017">
        <v>10</v>
      </c>
      <c r="C2017">
        <v>5.67</v>
      </c>
      <c r="D2017">
        <v>5</v>
      </c>
      <c r="E2017">
        <v>19.600000000000001</v>
      </c>
      <c r="F2017">
        <v>10.199999999999999</v>
      </c>
      <c r="G2017">
        <v>0</v>
      </c>
      <c r="H2017">
        <v>1</v>
      </c>
      <c r="I2017">
        <v>4</v>
      </c>
    </row>
    <row r="2018" spans="1:9" x14ac:dyDescent="0.25">
      <c r="A2018" s="18">
        <v>43657</v>
      </c>
      <c r="B2018">
        <v>3.33</v>
      </c>
      <c r="C2018">
        <v>4.726</v>
      </c>
      <c r="D2018">
        <v>4</v>
      </c>
      <c r="E2018">
        <v>19</v>
      </c>
      <c r="F2018">
        <v>7</v>
      </c>
      <c r="G2018">
        <v>0</v>
      </c>
      <c r="H2018">
        <v>0</v>
      </c>
      <c r="I2018">
        <v>3</v>
      </c>
    </row>
    <row r="2019" spans="1:9" x14ac:dyDescent="0.25">
      <c r="A2019" s="18">
        <v>43658</v>
      </c>
      <c r="B2019">
        <v>11</v>
      </c>
      <c r="C2019">
        <v>5.09</v>
      </c>
      <c r="D2019">
        <v>4.05</v>
      </c>
      <c r="E2019">
        <v>34</v>
      </c>
      <c r="F2019">
        <v>7.2</v>
      </c>
      <c r="G2019">
        <v>0</v>
      </c>
      <c r="H2019">
        <v>2</v>
      </c>
      <c r="I2019">
        <v>2</v>
      </c>
    </row>
    <row r="2020" spans="1:9" x14ac:dyDescent="0.25">
      <c r="A2020" s="18">
        <v>43659</v>
      </c>
      <c r="B2020">
        <v>5</v>
      </c>
      <c r="C2020">
        <v>3.4169999999999998</v>
      </c>
      <c r="D2020">
        <v>1</v>
      </c>
      <c r="E2020">
        <v>17.600000000000001</v>
      </c>
      <c r="F2020">
        <v>5</v>
      </c>
      <c r="G2020">
        <v>3</v>
      </c>
      <c r="H2020">
        <v>0</v>
      </c>
      <c r="I2020">
        <v>5</v>
      </c>
    </row>
    <row r="2021" spans="1:9" x14ac:dyDescent="0.25">
      <c r="A2021" s="18">
        <v>43660</v>
      </c>
      <c r="B2021">
        <v>6</v>
      </c>
      <c r="C2021">
        <v>5.34</v>
      </c>
      <c r="D2021">
        <v>4</v>
      </c>
      <c r="E2021">
        <v>23</v>
      </c>
      <c r="F2021">
        <v>3</v>
      </c>
      <c r="G2021">
        <v>0</v>
      </c>
      <c r="H2021">
        <v>5</v>
      </c>
      <c r="I2021">
        <v>1</v>
      </c>
    </row>
    <row r="2022" spans="1:9" x14ac:dyDescent="0.25">
      <c r="A2022" s="18">
        <v>43661</v>
      </c>
      <c r="B2022">
        <v>7.33</v>
      </c>
      <c r="C2022">
        <v>1.67</v>
      </c>
      <c r="D2022">
        <v>4.55</v>
      </c>
      <c r="E2022">
        <v>24</v>
      </c>
      <c r="F2022">
        <v>6</v>
      </c>
      <c r="G2022">
        <v>1</v>
      </c>
      <c r="H2022">
        <v>0</v>
      </c>
      <c r="I2022">
        <v>7</v>
      </c>
    </row>
    <row r="2023" spans="1:9" x14ac:dyDescent="0.25">
      <c r="A2023" s="18">
        <v>43662</v>
      </c>
      <c r="B2023">
        <v>7</v>
      </c>
      <c r="C2023">
        <v>3.34</v>
      </c>
      <c r="D2023">
        <v>3</v>
      </c>
      <c r="E2023">
        <v>14</v>
      </c>
      <c r="F2023">
        <v>7</v>
      </c>
      <c r="G2023">
        <v>0</v>
      </c>
      <c r="H2023">
        <v>2</v>
      </c>
      <c r="I2023">
        <v>4</v>
      </c>
    </row>
    <row r="2024" spans="1:9" x14ac:dyDescent="0.25">
      <c r="A2024" s="18">
        <v>43663</v>
      </c>
      <c r="B2024">
        <v>3.99</v>
      </c>
      <c r="C2024">
        <v>0.157</v>
      </c>
      <c r="D2024">
        <v>2.5</v>
      </c>
      <c r="E2024">
        <v>26</v>
      </c>
      <c r="F2024">
        <v>7</v>
      </c>
      <c r="G2024">
        <v>1</v>
      </c>
      <c r="H2024">
        <v>0</v>
      </c>
      <c r="I2024">
        <v>2</v>
      </c>
    </row>
    <row r="2025" spans="1:9" x14ac:dyDescent="0.25">
      <c r="A2025" s="18">
        <v>43664</v>
      </c>
      <c r="B2025">
        <v>11</v>
      </c>
      <c r="C2025">
        <v>3.33</v>
      </c>
      <c r="D2025">
        <v>1.3</v>
      </c>
      <c r="E2025">
        <v>24</v>
      </c>
      <c r="F2025">
        <v>11</v>
      </c>
      <c r="G2025">
        <v>0</v>
      </c>
      <c r="H2025">
        <v>3</v>
      </c>
      <c r="I2025">
        <v>3</v>
      </c>
    </row>
    <row r="2026" spans="1:9" x14ac:dyDescent="0.25">
      <c r="A2026" s="18">
        <v>43665</v>
      </c>
      <c r="B2026">
        <v>7.33</v>
      </c>
      <c r="C2026">
        <v>5.34</v>
      </c>
      <c r="D2026">
        <v>4</v>
      </c>
      <c r="E2026">
        <v>28</v>
      </c>
      <c r="F2026">
        <v>15</v>
      </c>
      <c r="G2026">
        <v>0</v>
      </c>
      <c r="H2026">
        <v>3</v>
      </c>
      <c r="I2026">
        <v>7</v>
      </c>
    </row>
    <row r="2027" spans="1:9" x14ac:dyDescent="0.25">
      <c r="A2027" s="18">
        <v>43666</v>
      </c>
      <c r="B2027">
        <v>4.34</v>
      </c>
      <c r="C2027">
        <v>4.4489999999999998</v>
      </c>
      <c r="D2027">
        <v>1</v>
      </c>
      <c r="E2027">
        <v>17.2</v>
      </c>
      <c r="F2027">
        <v>4</v>
      </c>
      <c r="G2027">
        <v>0</v>
      </c>
      <c r="H2027">
        <v>6</v>
      </c>
      <c r="I2027">
        <v>2</v>
      </c>
    </row>
    <row r="2028" spans="1:9" x14ac:dyDescent="0.25">
      <c r="A2028" s="18">
        <v>43667</v>
      </c>
      <c r="B2028">
        <v>6.34</v>
      </c>
      <c r="C2028">
        <v>0.36299999999999999</v>
      </c>
      <c r="D2028">
        <v>1.1000000000000001</v>
      </c>
      <c r="E2028">
        <v>16</v>
      </c>
      <c r="F2028">
        <v>5</v>
      </c>
      <c r="G2028">
        <v>0</v>
      </c>
      <c r="H2028">
        <v>1</v>
      </c>
      <c r="I2028">
        <v>3</v>
      </c>
    </row>
    <row r="2029" spans="1:9" x14ac:dyDescent="0.25">
      <c r="A2029" s="18">
        <v>43668</v>
      </c>
      <c r="B2029">
        <v>1</v>
      </c>
      <c r="C2029">
        <v>2.66</v>
      </c>
      <c r="D2029">
        <v>2</v>
      </c>
      <c r="E2029">
        <v>14.25</v>
      </c>
      <c r="F2029">
        <v>10</v>
      </c>
      <c r="G2029">
        <v>0</v>
      </c>
      <c r="H2029">
        <v>0</v>
      </c>
      <c r="I2029">
        <v>6</v>
      </c>
    </row>
    <row r="2030" spans="1:9" x14ac:dyDescent="0.25">
      <c r="A2030" s="18">
        <v>43669</v>
      </c>
      <c r="B2030">
        <v>1.34</v>
      </c>
      <c r="C2030">
        <v>0.67</v>
      </c>
      <c r="D2030">
        <v>5.2</v>
      </c>
      <c r="E2030">
        <v>7.25</v>
      </c>
      <c r="F2030">
        <v>11</v>
      </c>
      <c r="G2030">
        <v>0</v>
      </c>
      <c r="H2030">
        <v>7</v>
      </c>
      <c r="I2030">
        <v>2.4</v>
      </c>
    </row>
    <row r="2031" spans="1:9" x14ac:dyDescent="0.25">
      <c r="A2031" s="18">
        <v>43670</v>
      </c>
      <c r="B2031">
        <v>8</v>
      </c>
      <c r="C2031">
        <v>3.7690000000000001</v>
      </c>
      <c r="D2031">
        <v>2</v>
      </c>
      <c r="E2031">
        <v>30.875</v>
      </c>
      <c r="F2031">
        <v>19</v>
      </c>
      <c r="G2031">
        <v>0</v>
      </c>
      <c r="H2031">
        <v>2</v>
      </c>
      <c r="I2031">
        <v>1</v>
      </c>
    </row>
    <row r="2032" spans="1:9" x14ac:dyDescent="0.25">
      <c r="A2032" s="18">
        <v>43671</v>
      </c>
      <c r="B2032">
        <v>6</v>
      </c>
      <c r="C2032">
        <v>7</v>
      </c>
      <c r="D2032">
        <v>5</v>
      </c>
      <c r="E2032">
        <v>20</v>
      </c>
      <c r="F2032">
        <v>9</v>
      </c>
      <c r="G2032">
        <v>1</v>
      </c>
      <c r="H2032">
        <v>11</v>
      </c>
      <c r="I2032">
        <v>2</v>
      </c>
    </row>
    <row r="2033" spans="1:9" x14ac:dyDescent="0.25">
      <c r="A2033" s="18">
        <v>43672</v>
      </c>
      <c r="B2033">
        <v>12.5</v>
      </c>
      <c r="C2033">
        <v>4</v>
      </c>
      <c r="D2033">
        <v>0.1</v>
      </c>
      <c r="E2033">
        <v>17</v>
      </c>
      <c r="F2033">
        <v>12</v>
      </c>
      <c r="G2033">
        <v>0</v>
      </c>
      <c r="H2033">
        <v>8</v>
      </c>
      <c r="I2033">
        <v>3</v>
      </c>
    </row>
    <row r="2034" spans="1:9" x14ac:dyDescent="0.25">
      <c r="A2034" s="18">
        <v>43673</v>
      </c>
      <c r="B2034">
        <v>3.34</v>
      </c>
      <c r="C2034">
        <v>0</v>
      </c>
      <c r="D2034">
        <v>1</v>
      </c>
      <c r="E2034">
        <v>22</v>
      </c>
      <c r="F2034">
        <v>6</v>
      </c>
      <c r="G2034">
        <v>3</v>
      </c>
      <c r="H2034">
        <v>2</v>
      </c>
      <c r="I2034">
        <v>3.4</v>
      </c>
    </row>
    <row r="2035" spans="1:9" x14ac:dyDescent="0.25">
      <c r="A2035" s="18">
        <v>43674</v>
      </c>
      <c r="B2035">
        <v>4.34</v>
      </c>
      <c r="C2035">
        <v>1.34</v>
      </c>
      <c r="D2035">
        <v>4</v>
      </c>
      <c r="E2035">
        <v>13</v>
      </c>
      <c r="F2035">
        <v>3</v>
      </c>
      <c r="G2035">
        <v>1</v>
      </c>
      <c r="H2035">
        <v>0</v>
      </c>
      <c r="I2035">
        <v>0.6</v>
      </c>
    </row>
    <row r="2036" spans="1:9" x14ac:dyDescent="0.25">
      <c r="A2036" s="18">
        <v>43675</v>
      </c>
      <c r="B2036">
        <v>9</v>
      </c>
      <c r="C2036">
        <v>4.33</v>
      </c>
      <c r="D2036">
        <v>2</v>
      </c>
      <c r="E2036">
        <v>25.45</v>
      </c>
      <c r="F2036">
        <v>12</v>
      </c>
      <c r="G2036">
        <v>0</v>
      </c>
      <c r="H2036">
        <v>1</v>
      </c>
      <c r="I2036">
        <v>2</v>
      </c>
    </row>
    <row r="2037" spans="1:9" x14ac:dyDescent="0.25">
      <c r="A2037" s="18">
        <v>43676</v>
      </c>
      <c r="B2037">
        <v>9.5</v>
      </c>
      <c r="C2037">
        <v>6.1870000000000003</v>
      </c>
      <c r="D2037">
        <v>5</v>
      </c>
      <c r="E2037">
        <v>19</v>
      </c>
      <c r="F2037">
        <v>9</v>
      </c>
      <c r="G2037">
        <v>4</v>
      </c>
      <c r="H2037">
        <v>33</v>
      </c>
      <c r="I2037">
        <v>5</v>
      </c>
    </row>
    <row r="2038" spans="1:9" x14ac:dyDescent="0.25">
      <c r="A2038" s="18">
        <v>43677</v>
      </c>
      <c r="B2038">
        <v>0</v>
      </c>
      <c r="C2038">
        <v>2.84</v>
      </c>
      <c r="D2038">
        <v>2</v>
      </c>
      <c r="E2038">
        <v>21</v>
      </c>
      <c r="F2038">
        <v>4</v>
      </c>
      <c r="G2038">
        <v>0</v>
      </c>
      <c r="H2038">
        <v>4</v>
      </c>
      <c r="I2038">
        <v>2</v>
      </c>
    </row>
    <row r="2039" spans="1:9" x14ac:dyDescent="0.25">
      <c r="A2039" s="18">
        <v>43678</v>
      </c>
      <c r="B2039">
        <v>8.67</v>
      </c>
      <c r="C2039">
        <v>0.91300000000000003</v>
      </c>
      <c r="D2039">
        <v>2</v>
      </c>
      <c r="E2039">
        <v>37</v>
      </c>
      <c r="F2039">
        <v>6</v>
      </c>
      <c r="G2039">
        <v>0</v>
      </c>
      <c r="H2039">
        <v>1</v>
      </c>
      <c r="I2039">
        <v>2</v>
      </c>
    </row>
    <row r="2040" spans="1:9" x14ac:dyDescent="0.25">
      <c r="A2040" s="18">
        <v>43679</v>
      </c>
      <c r="B2040">
        <v>5</v>
      </c>
      <c r="C2040">
        <v>1.68</v>
      </c>
      <c r="D2040">
        <v>3</v>
      </c>
      <c r="E2040">
        <v>18</v>
      </c>
      <c r="F2040">
        <v>7</v>
      </c>
      <c r="G2040">
        <v>2</v>
      </c>
      <c r="H2040">
        <v>6</v>
      </c>
      <c r="I2040">
        <v>1</v>
      </c>
    </row>
    <row r="2041" spans="1:9" x14ac:dyDescent="0.25">
      <c r="A2041" s="18">
        <v>43680</v>
      </c>
      <c r="B2041">
        <v>5.34</v>
      </c>
      <c r="C2041">
        <v>4.68</v>
      </c>
      <c r="D2041">
        <v>2.2999999999999998</v>
      </c>
      <c r="E2041">
        <v>12</v>
      </c>
      <c r="F2041">
        <v>6</v>
      </c>
      <c r="G2041">
        <v>5</v>
      </c>
      <c r="H2041">
        <v>1</v>
      </c>
      <c r="I2041">
        <v>3.4</v>
      </c>
    </row>
    <row r="2042" spans="1:9" x14ac:dyDescent="0.25">
      <c r="A2042" s="18">
        <v>43681</v>
      </c>
      <c r="B2042">
        <v>6.5</v>
      </c>
      <c r="C2042">
        <v>2.67</v>
      </c>
      <c r="D2042">
        <v>5</v>
      </c>
      <c r="E2042">
        <v>24</v>
      </c>
      <c r="F2042">
        <v>10</v>
      </c>
      <c r="G2042">
        <v>0</v>
      </c>
      <c r="H2042">
        <v>2</v>
      </c>
      <c r="I2042">
        <v>4.3</v>
      </c>
    </row>
    <row r="2043" spans="1:9" x14ac:dyDescent="0.25">
      <c r="A2043" s="18">
        <v>43682</v>
      </c>
      <c r="B2043">
        <v>4</v>
      </c>
      <c r="C2043">
        <v>1</v>
      </c>
      <c r="D2043">
        <v>4.3</v>
      </c>
      <c r="E2043">
        <v>6</v>
      </c>
      <c r="F2043">
        <v>7</v>
      </c>
      <c r="G2043">
        <v>1</v>
      </c>
      <c r="H2043">
        <v>5</v>
      </c>
      <c r="I2043">
        <v>0</v>
      </c>
    </row>
    <row r="2044" spans="1:9" x14ac:dyDescent="0.25">
      <c r="A2044" s="18">
        <v>43683</v>
      </c>
      <c r="B2044">
        <v>10</v>
      </c>
      <c r="C2044">
        <v>4.67</v>
      </c>
      <c r="D2044">
        <v>2</v>
      </c>
      <c r="E2044">
        <v>17.25</v>
      </c>
      <c r="F2044">
        <v>4</v>
      </c>
      <c r="G2044">
        <v>0</v>
      </c>
      <c r="H2044">
        <v>6</v>
      </c>
      <c r="I2044">
        <v>6</v>
      </c>
    </row>
    <row r="2045" spans="1:9" x14ac:dyDescent="0.25">
      <c r="A2045" s="18">
        <v>43684</v>
      </c>
      <c r="B2045">
        <v>6</v>
      </c>
      <c r="C2045">
        <v>1.7589999999999999</v>
      </c>
      <c r="D2045">
        <v>2</v>
      </c>
      <c r="E2045">
        <v>9</v>
      </c>
      <c r="F2045">
        <v>7</v>
      </c>
      <c r="G2045">
        <v>0</v>
      </c>
      <c r="H2045">
        <v>21</v>
      </c>
      <c r="I2045">
        <v>3</v>
      </c>
    </row>
    <row r="2046" spans="1:9" x14ac:dyDescent="0.25">
      <c r="A2046" s="18">
        <v>43685</v>
      </c>
      <c r="B2046">
        <v>7.66</v>
      </c>
      <c r="C2046">
        <v>1.01</v>
      </c>
      <c r="D2046">
        <v>3</v>
      </c>
      <c r="E2046">
        <v>15</v>
      </c>
      <c r="F2046">
        <v>10</v>
      </c>
      <c r="G2046">
        <v>0</v>
      </c>
      <c r="H2046">
        <v>31</v>
      </c>
      <c r="I2046">
        <v>3</v>
      </c>
    </row>
    <row r="2047" spans="1:9" x14ac:dyDescent="0.25">
      <c r="A2047" s="18">
        <v>43686</v>
      </c>
      <c r="B2047">
        <v>3</v>
      </c>
      <c r="C2047">
        <v>3.25</v>
      </c>
      <c r="D2047">
        <v>0</v>
      </c>
      <c r="E2047">
        <v>8</v>
      </c>
      <c r="F2047">
        <v>13</v>
      </c>
      <c r="G2047">
        <v>5</v>
      </c>
      <c r="H2047">
        <v>1</v>
      </c>
      <c r="I2047">
        <v>5</v>
      </c>
    </row>
    <row r="2048" spans="1:9" x14ac:dyDescent="0.25">
      <c r="A2048" s="18">
        <v>43687</v>
      </c>
      <c r="B2048">
        <v>3.33</v>
      </c>
      <c r="C2048">
        <v>0.68</v>
      </c>
      <c r="D2048">
        <v>6</v>
      </c>
      <c r="E2048">
        <v>15</v>
      </c>
      <c r="F2048">
        <v>11</v>
      </c>
      <c r="G2048">
        <v>0</v>
      </c>
      <c r="H2048">
        <v>0</v>
      </c>
      <c r="I2048">
        <v>0</v>
      </c>
    </row>
    <row r="2049" spans="1:9" x14ac:dyDescent="0.25">
      <c r="A2049" s="18">
        <v>43688</v>
      </c>
      <c r="B2049">
        <v>7</v>
      </c>
      <c r="C2049">
        <v>6.85</v>
      </c>
      <c r="D2049">
        <v>4</v>
      </c>
      <c r="E2049">
        <v>16</v>
      </c>
      <c r="F2049">
        <v>5</v>
      </c>
      <c r="G2049">
        <v>2</v>
      </c>
      <c r="H2049">
        <v>2</v>
      </c>
      <c r="I2049">
        <v>3</v>
      </c>
    </row>
    <row r="2050" spans="1:9" x14ac:dyDescent="0.25">
      <c r="A2050" s="18">
        <v>43689</v>
      </c>
      <c r="B2050">
        <v>8.33</v>
      </c>
      <c r="C2050">
        <v>4.4960000000000004</v>
      </c>
      <c r="D2050">
        <v>1</v>
      </c>
      <c r="E2050">
        <v>36</v>
      </c>
      <c r="F2050">
        <v>11</v>
      </c>
      <c r="G2050">
        <v>1</v>
      </c>
      <c r="H2050">
        <v>5</v>
      </c>
      <c r="I2050">
        <v>3.5</v>
      </c>
    </row>
    <row r="2051" spans="1:9" x14ac:dyDescent="0.25">
      <c r="A2051" s="18">
        <v>43690</v>
      </c>
      <c r="B2051">
        <v>8</v>
      </c>
      <c r="C2051">
        <v>1.8959999999999999</v>
      </c>
      <c r="D2051">
        <v>2</v>
      </c>
      <c r="E2051">
        <v>15</v>
      </c>
      <c r="F2051">
        <v>3</v>
      </c>
      <c r="G2051">
        <v>0</v>
      </c>
      <c r="H2051">
        <v>2</v>
      </c>
      <c r="I2051">
        <v>1</v>
      </c>
    </row>
    <row r="2052" spans="1:9" x14ac:dyDescent="0.25">
      <c r="A2052" s="18">
        <v>43691</v>
      </c>
      <c r="B2052">
        <v>4.34</v>
      </c>
      <c r="C2052">
        <v>0.67</v>
      </c>
      <c r="D2052">
        <v>3.1</v>
      </c>
      <c r="E2052">
        <v>20</v>
      </c>
      <c r="F2052">
        <v>6</v>
      </c>
      <c r="G2052">
        <v>0</v>
      </c>
      <c r="H2052">
        <v>0</v>
      </c>
      <c r="I2052">
        <v>3</v>
      </c>
    </row>
    <row r="2053" spans="1:9" x14ac:dyDescent="0.25">
      <c r="A2053" s="18">
        <v>43692</v>
      </c>
      <c r="B2053">
        <v>8.67</v>
      </c>
      <c r="C2053">
        <v>1.99</v>
      </c>
      <c r="D2053">
        <v>2</v>
      </c>
      <c r="E2053">
        <v>12</v>
      </c>
      <c r="F2053">
        <v>9</v>
      </c>
      <c r="G2053">
        <v>0</v>
      </c>
      <c r="H2053">
        <v>11</v>
      </c>
      <c r="I2053">
        <v>2</v>
      </c>
    </row>
    <row r="2054" spans="1:9" x14ac:dyDescent="0.25">
      <c r="A2054" s="18">
        <v>43693</v>
      </c>
      <c r="B2054">
        <v>3.33</v>
      </c>
      <c r="C2054">
        <v>2.68</v>
      </c>
      <c r="D2054">
        <v>2</v>
      </c>
      <c r="E2054">
        <v>13</v>
      </c>
      <c r="F2054">
        <v>15</v>
      </c>
      <c r="G2054">
        <v>0</v>
      </c>
      <c r="H2054">
        <v>10</v>
      </c>
      <c r="I2054">
        <v>7</v>
      </c>
    </row>
    <row r="2055" spans="1:9" x14ac:dyDescent="0.25">
      <c r="A2055" s="18">
        <v>43694</v>
      </c>
      <c r="B2055">
        <v>7.67</v>
      </c>
      <c r="C2055">
        <v>4.5309999999999997</v>
      </c>
      <c r="D2055">
        <v>2.4500000000000002</v>
      </c>
      <c r="E2055">
        <v>18</v>
      </c>
      <c r="F2055">
        <v>5</v>
      </c>
      <c r="G2055">
        <v>1</v>
      </c>
      <c r="H2055">
        <v>0</v>
      </c>
      <c r="I2055">
        <v>2.5</v>
      </c>
    </row>
    <row r="2056" spans="1:9" x14ac:dyDescent="0.25">
      <c r="A2056" s="18">
        <v>43695</v>
      </c>
      <c r="B2056">
        <v>4.84</v>
      </c>
      <c r="C2056">
        <v>2.8460000000000001</v>
      </c>
      <c r="D2056">
        <v>1</v>
      </c>
      <c r="E2056">
        <v>11</v>
      </c>
      <c r="F2056">
        <v>4</v>
      </c>
      <c r="G2056">
        <v>0</v>
      </c>
      <c r="H2056">
        <v>7</v>
      </c>
      <c r="I2056">
        <v>4</v>
      </c>
    </row>
    <row r="2057" spans="1:9" x14ac:dyDescent="0.25">
      <c r="A2057" s="18">
        <v>43696</v>
      </c>
      <c r="B2057">
        <v>3.68</v>
      </c>
      <c r="C2057">
        <v>3.67</v>
      </c>
      <c r="D2057">
        <v>4</v>
      </c>
      <c r="E2057">
        <v>9</v>
      </c>
      <c r="F2057">
        <v>11</v>
      </c>
      <c r="G2057">
        <v>2</v>
      </c>
      <c r="H2057">
        <v>0</v>
      </c>
      <c r="I2057">
        <v>4</v>
      </c>
    </row>
    <row r="2058" spans="1:9" x14ac:dyDescent="0.25">
      <c r="A2058" s="18">
        <v>43697</v>
      </c>
      <c r="B2058">
        <v>2</v>
      </c>
      <c r="C2058">
        <v>1.32</v>
      </c>
      <c r="D2058">
        <v>2</v>
      </c>
      <c r="E2058">
        <v>13.4</v>
      </c>
      <c r="F2058">
        <v>8</v>
      </c>
      <c r="G2058">
        <v>0</v>
      </c>
      <c r="H2058">
        <v>2</v>
      </c>
      <c r="I2058">
        <v>3</v>
      </c>
    </row>
    <row r="2059" spans="1:9" x14ac:dyDescent="0.25">
      <c r="A2059" s="18">
        <v>43698</v>
      </c>
      <c r="B2059">
        <v>4.34</v>
      </c>
      <c r="C2059">
        <v>4</v>
      </c>
      <c r="D2059">
        <v>0</v>
      </c>
      <c r="E2059">
        <v>19.45</v>
      </c>
      <c r="F2059">
        <v>10</v>
      </c>
      <c r="G2059">
        <v>0</v>
      </c>
      <c r="H2059">
        <v>5</v>
      </c>
      <c r="I2059">
        <v>3</v>
      </c>
    </row>
    <row r="2060" spans="1:9" x14ac:dyDescent="0.25">
      <c r="A2060" s="18">
        <v>43699</v>
      </c>
      <c r="B2060">
        <v>5.34</v>
      </c>
      <c r="C2060">
        <v>4</v>
      </c>
      <c r="D2060">
        <v>2</v>
      </c>
      <c r="E2060">
        <v>20</v>
      </c>
      <c r="F2060">
        <v>8</v>
      </c>
      <c r="G2060">
        <v>2</v>
      </c>
      <c r="H2060">
        <v>10</v>
      </c>
      <c r="I2060">
        <v>3</v>
      </c>
    </row>
    <row r="2061" spans="1:9" x14ac:dyDescent="0.25">
      <c r="A2061" s="18">
        <v>43700</v>
      </c>
      <c r="B2061">
        <v>9.67</v>
      </c>
      <c r="C2061">
        <v>5.1559999999999997</v>
      </c>
      <c r="D2061">
        <v>4.05</v>
      </c>
      <c r="E2061">
        <v>12</v>
      </c>
      <c r="F2061">
        <v>11</v>
      </c>
      <c r="G2061">
        <v>2</v>
      </c>
      <c r="H2061">
        <v>4</v>
      </c>
      <c r="I2061">
        <v>2</v>
      </c>
    </row>
    <row r="2062" spans="1:9" x14ac:dyDescent="0.25">
      <c r="A2062" s="18">
        <v>43701</v>
      </c>
      <c r="B2062">
        <v>13.84</v>
      </c>
      <c r="C2062">
        <v>6.02</v>
      </c>
      <c r="D2062">
        <v>3</v>
      </c>
      <c r="E2062">
        <v>24.6</v>
      </c>
      <c r="F2062">
        <v>9</v>
      </c>
      <c r="G2062">
        <v>0</v>
      </c>
      <c r="H2062">
        <v>0</v>
      </c>
      <c r="I2062">
        <v>5.5</v>
      </c>
    </row>
    <row r="2063" spans="1:9" x14ac:dyDescent="0.25">
      <c r="A2063" s="18">
        <v>43702</v>
      </c>
      <c r="B2063">
        <v>3</v>
      </c>
      <c r="C2063">
        <v>3.35</v>
      </c>
      <c r="D2063">
        <v>2</v>
      </c>
      <c r="E2063">
        <v>17</v>
      </c>
      <c r="F2063">
        <v>4</v>
      </c>
      <c r="G2063">
        <v>0</v>
      </c>
      <c r="H2063">
        <v>3</v>
      </c>
      <c r="I2063">
        <v>0</v>
      </c>
    </row>
    <row r="2064" spans="1:9" x14ac:dyDescent="0.25">
      <c r="A2064" s="18">
        <v>43703</v>
      </c>
      <c r="B2064">
        <v>2.67</v>
      </c>
      <c r="C2064">
        <v>2.3730000000000002</v>
      </c>
      <c r="D2064">
        <v>3</v>
      </c>
      <c r="E2064">
        <v>18</v>
      </c>
      <c r="F2064">
        <v>11</v>
      </c>
      <c r="G2064">
        <v>0</v>
      </c>
      <c r="H2064">
        <v>3</v>
      </c>
      <c r="I2064">
        <v>3</v>
      </c>
    </row>
    <row r="2065" spans="1:9" x14ac:dyDescent="0.25">
      <c r="A2065" s="18">
        <v>43704</v>
      </c>
      <c r="B2065">
        <v>2.34</v>
      </c>
      <c r="C2065">
        <v>2.0099999999999998</v>
      </c>
      <c r="D2065">
        <v>3</v>
      </c>
      <c r="E2065">
        <v>21</v>
      </c>
      <c r="F2065">
        <v>3</v>
      </c>
      <c r="G2065">
        <v>0</v>
      </c>
      <c r="H2065">
        <v>0</v>
      </c>
      <c r="I2065">
        <v>5</v>
      </c>
    </row>
    <row r="2066" spans="1:9" x14ac:dyDescent="0.25">
      <c r="A2066" s="18">
        <v>43705</v>
      </c>
      <c r="B2066">
        <v>3.33</v>
      </c>
      <c r="C2066">
        <v>1.427</v>
      </c>
      <c r="D2066">
        <v>5</v>
      </c>
      <c r="E2066">
        <v>10</v>
      </c>
      <c r="F2066">
        <v>6</v>
      </c>
      <c r="G2066">
        <v>1</v>
      </c>
      <c r="H2066">
        <v>0</v>
      </c>
      <c r="I2066">
        <v>2</v>
      </c>
    </row>
    <row r="2067" spans="1:9" x14ac:dyDescent="0.25">
      <c r="A2067" s="18">
        <v>43706</v>
      </c>
      <c r="B2067">
        <v>9</v>
      </c>
      <c r="C2067">
        <v>1.68</v>
      </c>
      <c r="D2067">
        <v>5</v>
      </c>
      <c r="E2067">
        <v>17.399999999999999</v>
      </c>
      <c r="F2067">
        <v>9</v>
      </c>
      <c r="G2067">
        <v>1</v>
      </c>
      <c r="H2067">
        <v>1</v>
      </c>
      <c r="I2067">
        <v>2</v>
      </c>
    </row>
    <row r="2068" spans="1:9" x14ac:dyDescent="0.25">
      <c r="A2068" s="18">
        <v>43707</v>
      </c>
      <c r="B2068">
        <v>6.34</v>
      </c>
      <c r="C2068">
        <v>1.056</v>
      </c>
      <c r="D2068">
        <v>2</v>
      </c>
      <c r="E2068">
        <v>19</v>
      </c>
      <c r="F2068">
        <v>3</v>
      </c>
      <c r="G2068">
        <v>0</v>
      </c>
      <c r="H2068">
        <v>2</v>
      </c>
      <c r="I2068">
        <v>5.0999999999999996</v>
      </c>
    </row>
    <row r="2069" spans="1:9" x14ac:dyDescent="0.25">
      <c r="A2069" s="18">
        <v>43708</v>
      </c>
      <c r="B2069">
        <v>4.68</v>
      </c>
      <c r="C2069">
        <v>3.9359999999999999</v>
      </c>
      <c r="D2069">
        <v>2</v>
      </c>
      <c r="E2069">
        <v>15</v>
      </c>
      <c r="F2069">
        <v>5</v>
      </c>
      <c r="G2069">
        <v>1</v>
      </c>
      <c r="H2069">
        <v>4</v>
      </c>
      <c r="I2069">
        <v>6</v>
      </c>
    </row>
    <row r="2070" spans="1:9" x14ac:dyDescent="0.25">
      <c r="A2070" s="18">
        <v>43709</v>
      </c>
      <c r="B2070">
        <v>2</v>
      </c>
      <c r="C2070">
        <v>4.3600000000000003</v>
      </c>
      <c r="D2070">
        <v>5</v>
      </c>
      <c r="E2070">
        <v>17</v>
      </c>
      <c r="F2070">
        <v>8.1999999999999993</v>
      </c>
      <c r="G2070">
        <v>1</v>
      </c>
      <c r="H2070">
        <v>5</v>
      </c>
      <c r="I2070">
        <v>4</v>
      </c>
    </row>
    <row r="2071" spans="1:9" x14ac:dyDescent="0.25">
      <c r="A2071" s="18">
        <v>43710</v>
      </c>
      <c r="B2071">
        <v>5.33</v>
      </c>
      <c r="C2071">
        <v>2.0870000000000002</v>
      </c>
      <c r="D2071">
        <v>2.5</v>
      </c>
      <c r="E2071">
        <v>18</v>
      </c>
      <c r="F2071">
        <v>7</v>
      </c>
      <c r="G2071">
        <v>0</v>
      </c>
      <c r="H2071">
        <v>1</v>
      </c>
      <c r="I2071">
        <v>9</v>
      </c>
    </row>
    <row r="2072" spans="1:9" x14ac:dyDescent="0.25">
      <c r="A2072" s="18">
        <v>43711</v>
      </c>
      <c r="B2072">
        <v>9.36</v>
      </c>
      <c r="C2072">
        <v>2.35</v>
      </c>
      <c r="D2072">
        <v>3.1</v>
      </c>
      <c r="E2072">
        <v>12.125</v>
      </c>
      <c r="F2072">
        <v>8</v>
      </c>
      <c r="G2072">
        <v>3</v>
      </c>
      <c r="H2072">
        <v>1</v>
      </c>
      <c r="I2072">
        <v>2</v>
      </c>
    </row>
    <row r="2073" spans="1:9" x14ac:dyDescent="0.25">
      <c r="A2073" s="18">
        <v>43712</v>
      </c>
      <c r="B2073">
        <v>2</v>
      </c>
      <c r="C2073">
        <v>0.373</v>
      </c>
      <c r="D2073">
        <v>2.15</v>
      </c>
      <c r="E2073">
        <v>29.23</v>
      </c>
      <c r="F2073">
        <v>7</v>
      </c>
      <c r="G2073">
        <v>0</v>
      </c>
      <c r="H2073">
        <v>3</v>
      </c>
      <c r="I2073">
        <v>3</v>
      </c>
    </row>
    <row r="2074" spans="1:9" x14ac:dyDescent="0.25">
      <c r="A2074" s="18">
        <v>43713</v>
      </c>
      <c r="B2074">
        <v>7</v>
      </c>
      <c r="C2074">
        <v>9.5299999999999994</v>
      </c>
      <c r="D2074">
        <v>2</v>
      </c>
      <c r="E2074">
        <v>14</v>
      </c>
      <c r="F2074">
        <v>1</v>
      </c>
      <c r="G2074">
        <v>0</v>
      </c>
      <c r="H2074">
        <v>1</v>
      </c>
      <c r="I2074">
        <v>8</v>
      </c>
    </row>
    <row r="2075" spans="1:9" x14ac:dyDescent="0.25">
      <c r="A2075" s="18">
        <v>43714</v>
      </c>
      <c r="B2075">
        <v>1.68</v>
      </c>
      <c r="C2075">
        <v>2.67</v>
      </c>
      <c r="D2075">
        <v>1</v>
      </c>
      <c r="E2075">
        <v>28.4</v>
      </c>
      <c r="F2075">
        <v>7</v>
      </c>
      <c r="G2075">
        <v>0</v>
      </c>
      <c r="H2075">
        <v>0</v>
      </c>
      <c r="I2075">
        <v>1.5</v>
      </c>
    </row>
    <row r="2076" spans="1:9" x14ac:dyDescent="0.25">
      <c r="A2076" s="18">
        <v>43715</v>
      </c>
      <c r="B2076">
        <v>8.33</v>
      </c>
      <c r="C2076">
        <v>3.67</v>
      </c>
      <c r="D2076">
        <v>2</v>
      </c>
      <c r="E2076">
        <v>27</v>
      </c>
      <c r="F2076">
        <v>14</v>
      </c>
      <c r="G2076">
        <v>3</v>
      </c>
      <c r="H2076">
        <v>6</v>
      </c>
      <c r="I2076">
        <v>2</v>
      </c>
    </row>
    <row r="2077" spans="1:9" x14ac:dyDescent="0.25">
      <c r="A2077" s="18">
        <v>43716</v>
      </c>
      <c r="B2077">
        <v>7.01</v>
      </c>
      <c r="C2077">
        <v>6.0869999999999997</v>
      </c>
      <c r="D2077">
        <v>3</v>
      </c>
      <c r="E2077">
        <v>26</v>
      </c>
      <c r="F2077">
        <v>7</v>
      </c>
      <c r="G2077">
        <v>0</v>
      </c>
      <c r="H2077">
        <v>3</v>
      </c>
      <c r="I2077">
        <v>3</v>
      </c>
    </row>
    <row r="2078" spans="1:9" x14ac:dyDescent="0.25">
      <c r="A2078" s="18">
        <v>43717</v>
      </c>
      <c r="B2078">
        <v>1.18</v>
      </c>
      <c r="C2078">
        <v>2.1240000000000001</v>
      </c>
      <c r="D2078">
        <v>3</v>
      </c>
      <c r="E2078">
        <v>26</v>
      </c>
      <c r="F2078">
        <v>4</v>
      </c>
      <c r="G2078">
        <v>3</v>
      </c>
      <c r="H2078">
        <v>5</v>
      </c>
      <c r="I2078">
        <v>2</v>
      </c>
    </row>
    <row r="2079" spans="1:9" x14ac:dyDescent="0.25">
      <c r="A2079" s="18">
        <v>43718</v>
      </c>
      <c r="B2079">
        <v>8.66</v>
      </c>
      <c r="C2079">
        <v>6.68</v>
      </c>
      <c r="D2079">
        <v>4.2</v>
      </c>
      <c r="E2079">
        <v>22</v>
      </c>
      <c r="F2079">
        <v>17</v>
      </c>
      <c r="G2079">
        <v>0</v>
      </c>
      <c r="H2079">
        <v>1</v>
      </c>
      <c r="I2079">
        <v>1</v>
      </c>
    </row>
    <row r="2080" spans="1:9" x14ac:dyDescent="0.25">
      <c r="A2080" s="18">
        <v>43719</v>
      </c>
      <c r="B2080">
        <v>2.67</v>
      </c>
      <c r="C2080">
        <v>5.0759999999999996</v>
      </c>
      <c r="D2080">
        <v>3</v>
      </c>
      <c r="E2080">
        <v>42</v>
      </c>
      <c r="F2080">
        <v>5</v>
      </c>
      <c r="G2080">
        <v>0</v>
      </c>
      <c r="H2080">
        <v>5</v>
      </c>
      <c r="I2080">
        <v>2.5</v>
      </c>
    </row>
    <row r="2081" spans="1:9" x14ac:dyDescent="0.25">
      <c r="A2081" s="18">
        <v>43720</v>
      </c>
      <c r="B2081">
        <v>2.33</v>
      </c>
      <c r="C2081">
        <v>1.34</v>
      </c>
      <c r="D2081">
        <v>2</v>
      </c>
      <c r="E2081">
        <v>21.975000000000001</v>
      </c>
      <c r="F2081">
        <v>11.2</v>
      </c>
      <c r="G2081">
        <v>0</v>
      </c>
      <c r="H2081">
        <v>10</v>
      </c>
      <c r="I2081">
        <v>4</v>
      </c>
    </row>
    <row r="2082" spans="1:9" x14ac:dyDescent="0.25">
      <c r="A2082" s="18">
        <v>43721</v>
      </c>
      <c r="B2082">
        <v>6.34</v>
      </c>
      <c r="C2082">
        <v>3.35</v>
      </c>
      <c r="D2082">
        <v>2</v>
      </c>
      <c r="E2082">
        <v>17</v>
      </c>
      <c r="F2082">
        <v>12</v>
      </c>
      <c r="G2082">
        <v>2</v>
      </c>
      <c r="H2082">
        <v>5</v>
      </c>
      <c r="I2082">
        <v>5</v>
      </c>
    </row>
    <row r="2083" spans="1:9" x14ac:dyDescent="0.25">
      <c r="A2083" s="18">
        <v>43722</v>
      </c>
      <c r="B2083">
        <v>8.99</v>
      </c>
      <c r="C2083">
        <v>6.3970000000000002</v>
      </c>
      <c r="D2083">
        <v>3.45</v>
      </c>
      <c r="E2083">
        <v>24</v>
      </c>
      <c r="F2083">
        <v>12</v>
      </c>
      <c r="G2083">
        <v>0</v>
      </c>
      <c r="H2083">
        <v>2</v>
      </c>
      <c r="I2083">
        <v>10</v>
      </c>
    </row>
    <row r="2084" spans="1:9" x14ac:dyDescent="0.25">
      <c r="A2084" s="18">
        <v>43723</v>
      </c>
      <c r="B2084">
        <v>5.34</v>
      </c>
      <c r="C2084">
        <v>6.01</v>
      </c>
      <c r="D2084">
        <v>2</v>
      </c>
      <c r="E2084">
        <v>25.4</v>
      </c>
      <c r="F2084">
        <v>6</v>
      </c>
      <c r="G2084">
        <v>0</v>
      </c>
      <c r="H2084">
        <v>2</v>
      </c>
      <c r="I2084">
        <v>6</v>
      </c>
    </row>
    <row r="2085" spans="1:9" x14ac:dyDescent="0.25">
      <c r="A2085" s="18">
        <v>43724</v>
      </c>
      <c r="B2085">
        <v>9.33</v>
      </c>
      <c r="C2085">
        <v>2.3159999999999998</v>
      </c>
      <c r="D2085">
        <v>3</v>
      </c>
      <c r="E2085">
        <v>22</v>
      </c>
      <c r="F2085">
        <v>5</v>
      </c>
      <c r="G2085">
        <v>1</v>
      </c>
      <c r="H2085">
        <v>0</v>
      </c>
      <c r="I2085">
        <v>2</v>
      </c>
    </row>
    <row r="2086" spans="1:9" x14ac:dyDescent="0.25">
      <c r="A2086" s="18">
        <v>43725</v>
      </c>
      <c r="B2086">
        <v>4.5</v>
      </c>
      <c r="C2086">
        <v>3.0070000000000001</v>
      </c>
      <c r="D2086">
        <v>6.5</v>
      </c>
      <c r="E2086">
        <v>19.2</v>
      </c>
      <c r="F2086">
        <v>8.1999999999999993</v>
      </c>
      <c r="G2086">
        <v>0</v>
      </c>
      <c r="H2086">
        <v>6</v>
      </c>
      <c r="I2086">
        <v>2</v>
      </c>
    </row>
    <row r="2087" spans="1:9" x14ac:dyDescent="0.25">
      <c r="A2087" s="18">
        <v>43726</v>
      </c>
      <c r="B2087">
        <v>6.33</v>
      </c>
      <c r="C2087">
        <v>4.33</v>
      </c>
      <c r="D2087">
        <v>7</v>
      </c>
      <c r="E2087">
        <v>22</v>
      </c>
      <c r="F2087">
        <v>4</v>
      </c>
      <c r="G2087">
        <v>0</v>
      </c>
      <c r="H2087">
        <v>2</v>
      </c>
      <c r="I2087">
        <v>2</v>
      </c>
    </row>
    <row r="2088" spans="1:9" x14ac:dyDescent="0.25">
      <c r="A2088" s="18">
        <v>43727</v>
      </c>
      <c r="B2088">
        <v>7.33</v>
      </c>
      <c r="C2088">
        <v>3.34</v>
      </c>
      <c r="D2088">
        <v>3</v>
      </c>
      <c r="E2088">
        <v>33</v>
      </c>
      <c r="F2088">
        <v>5</v>
      </c>
      <c r="G2088">
        <v>2</v>
      </c>
      <c r="H2088">
        <v>3</v>
      </c>
      <c r="I2088">
        <v>4</v>
      </c>
    </row>
    <row r="2089" spans="1:9" x14ac:dyDescent="0.25">
      <c r="A2089" s="18">
        <v>43728</v>
      </c>
      <c r="B2089">
        <v>5.34</v>
      </c>
      <c r="C2089">
        <v>3.383</v>
      </c>
      <c r="D2089">
        <v>2</v>
      </c>
      <c r="E2089">
        <v>51.3</v>
      </c>
      <c r="F2089">
        <v>3</v>
      </c>
      <c r="G2089">
        <v>0</v>
      </c>
      <c r="H2089">
        <v>1</v>
      </c>
      <c r="I2089">
        <v>3</v>
      </c>
    </row>
    <row r="2090" spans="1:9" x14ac:dyDescent="0.25">
      <c r="A2090" s="18">
        <v>43729</v>
      </c>
      <c r="B2090">
        <v>10.68</v>
      </c>
      <c r="C2090">
        <v>5.68</v>
      </c>
      <c r="D2090">
        <v>1</v>
      </c>
      <c r="E2090">
        <v>44.25</v>
      </c>
      <c r="F2090">
        <v>3</v>
      </c>
      <c r="G2090">
        <v>0</v>
      </c>
      <c r="H2090">
        <v>6</v>
      </c>
      <c r="I2090">
        <v>4</v>
      </c>
    </row>
    <row r="2091" spans="1:9" x14ac:dyDescent="0.25">
      <c r="A2091" s="18">
        <v>43730</v>
      </c>
      <c r="B2091">
        <v>3.33</v>
      </c>
      <c r="C2091">
        <v>3.34</v>
      </c>
      <c r="D2091">
        <v>1.9</v>
      </c>
      <c r="E2091">
        <v>56.5</v>
      </c>
      <c r="F2091">
        <v>3</v>
      </c>
      <c r="G2091">
        <v>0</v>
      </c>
      <c r="H2091">
        <v>8</v>
      </c>
      <c r="I2091">
        <v>4</v>
      </c>
    </row>
    <row r="2092" spans="1:9" x14ac:dyDescent="0.25">
      <c r="A2092" s="18">
        <v>43731</v>
      </c>
      <c r="B2092">
        <v>5.34</v>
      </c>
      <c r="C2092">
        <v>4.5490000000000004</v>
      </c>
      <c r="D2092">
        <v>3.3</v>
      </c>
      <c r="E2092">
        <v>55</v>
      </c>
      <c r="F2092">
        <v>6</v>
      </c>
      <c r="G2092">
        <v>0</v>
      </c>
      <c r="H2092">
        <v>1</v>
      </c>
      <c r="I2092">
        <v>4</v>
      </c>
    </row>
    <row r="2093" spans="1:9" x14ac:dyDescent="0.25">
      <c r="A2093" s="18">
        <v>43732</v>
      </c>
      <c r="B2093">
        <v>2</v>
      </c>
      <c r="C2093">
        <v>1.34</v>
      </c>
      <c r="D2093">
        <v>6</v>
      </c>
      <c r="E2093">
        <v>61.3</v>
      </c>
      <c r="F2093">
        <v>12</v>
      </c>
      <c r="G2093">
        <v>0</v>
      </c>
      <c r="H2093">
        <v>1</v>
      </c>
      <c r="I2093">
        <v>6</v>
      </c>
    </row>
    <row r="2094" spans="1:9" x14ac:dyDescent="0.25">
      <c r="A2094" s="18">
        <v>43733</v>
      </c>
      <c r="B2094">
        <v>6</v>
      </c>
      <c r="C2094">
        <v>3.67</v>
      </c>
      <c r="D2094">
        <v>4.2</v>
      </c>
      <c r="E2094">
        <v>32.5</v>
      </c>
      <c r="F2094">
        <v>14</v>
      </c>
      <c r="G2094">
        <v>1</v>
      </c>
      <c r="H2094">
        <v>1.4166666670000001</v>
      </c>
      <c r="I2094">
        <v>4</v>
      </c>
    </row>
    <row r="2095" spans="1:9" x14ac:dyDescent="0.25">
      <c r="A2095" s="18">
        <v>43734</v>
      </c>
      <c r="B2095">
        <v>5.5</v>
      </c>
      <c r="C2095">
        <v>3.0329999999999999</v>
      </c>
      <c r="D2095">
        <v>2</v>
      </c>
      <c r="E2095">
        <v>31</v>
      </c>
      <c r="F2095">
        <v>13</v>
      </c>
      <c r="G2095">
        <v>0</v>
      </c>
      <c r="H2095">
        <v>31</v>
      </c>
      <c r="I2095">
        <v>0</v>
      </c>
    </row>
    <row r="2096" spans="1:9" x14ac:dyDescent="0.25">
      <c r="A2096" s="18">
        <v>43735</v>
      </c>
      <c r="B2096">
        <v>4.66</v>
      </c>
      <c r="C2096">
        <v>4.359</v>
      </c>
      <c r="D2096">
        <v>4</v>
      </c>
      <c r="E2096">
        <v>41.1</v>
      </c>
      <c r="F2096">
        <v>4</v>
      </c>
      <c r="G2096">
        <v>0</v>
      </c>
      <c r="H2096">
        <v>2</v>
      </c>
      <c r="I2096">
        <v>4</v>
      </c>
    </row>
    <row r="2097" spans="1:9" x14ac:dyDescent="0.25">
      <c r="A2097" s="18">
        <v>43736</v>
      </c>
      <c r="B2097">
        <v>7</v>
      </c>
      <c r="C2097">
        <v>1.68</v>
      </c>
      <c r="D2097">
        <v>4.0999999999999996</v>
      </c>
      <c r="E2097">
        <v>48</v>
      </c>
      <c r="F2097">
        <v>6.2</v>
      </c>
      <c r="G2097">
        <v>0</v>
      </c>
      <c r="H2097">
        <v>1</v>
      </c>
      <c r="I2097">
        <v>3</v>
      </c>
    </row>
    <row r="2098" spans="1:9" x14ac:dyDescent="0.25">
      <c r="A2098" s="18">
        <v>43737</v>
      </c>
      <c r="B2098">
        <v>3.51</v>
      </c>
      <c r="C2098">
        <v>3.867</v>
      </c>
      <c r="D2098">
        <v>3</v>
      </c>
      <c r="E2098">
        <v>67.8</v>
      </c>
      <c r="F2098">
        <v>6</v>
      </c>
      <c r="G2098">
        <v>0</v>
      </c>
      <c r="H2098">
        <v>3</v>
      </c>
      <c r="I2098">
        <v>2.1</v>
      </c>
    </row>
    <row r="2099" spans="1:9" x14ac:dyDescent="0.25">
      <c r="A2099" s="18">
        <v>43738</v>
      </c>
      <c r="B2099">
        <v>2</v>
      </c>
      <c r="C2099">
        <v>1.4390000000000001</v>
      </c>
      <c r="D2099">
        <v>2.1</v>
      </c>
      <c r="E2099">
        <v>49.4</v>
      </c>
      <c r="F2099">
        <v>9</v>
      </c>
      <c r="G2099">
        <v>0</v>
      </c>
      <c r="H2099">
        <v>5</v>
      </c>
      <c r="I2099">
        <v>2</v>
      </c>
    </row>
    <row r="2100" spans="1:9" x14ac:dyDescent="0.25">
      <c r="A2100" s="18">
        <v>43739</v>
      </c>
      <c r="B2100">
        <v>11.34</v>
      </c>
      <c r="C2100">
        <v>2.4060000000000001</v>
      </c>
      <c r="D2100">
        <v>0.1</v>
      </c>
      <c r="E2100">
        <v>47</v>
      </c>
      <c r="F2100">
        <v>15</v>
      </c>
      <c r="G2100">
        <v>4</v>
      </c>
      <c r="H2100">
        <v>17</v>
      </c>
      <c r="I2100">
        <v>1.5</v>
      </c>
    </row>
    <row r="2101" spans="1:9" x14ac:dyDescent="0.25">
      <c r="A2101" s="18">
        <v>43740</v>
      </c>
      <c r="B2101">
        <v>5.18</v>
      </c>
      <c r="C2101">
        <v>3.274</v>
      </c>
      <c r="D2101">
        <v>2.8</v>
      </c>
      <c r="E2101">
        <v>30.2</v>
      </c>
      <c r="F2101">
        <v>9</v>
      </c>
      <c r="G2101">
        <v>1</v>
      </c>
      <c r="H2101">
        <v>0</v>
      </c>
      <c r="I2101">
        <v>1.1000000000000001</v>
      </c>
    </row>
    <row r="2102" spans="1:9" x14ac:dyDescent="0.25">
      <c r="A2102" s="18">
        <v>43741</v>
      </c>
      <c r="B2102">
        <v>5</v>
      </c>
      <c r="C2102">
        <v>3</v>
      </c>
      <c r="D2102">
        <v>4</v>
      </c>
      <c r="E2102">
        <v>40.4</v>
      </c>
      <c r="F2102">
        <v>10</v>
      </c>
      <c r="G2102">
        <v>0</v>
      </c>
      <c r="H2102">
        <v>2</v>
      </c>
      <c r="I2102">
        <v>2</v>
      </c>
    </row>
    <row r="2103" spans="1:9" x14ac:dyDescent="0.25">
      <c r="A2103" s="18">
        <v>43742</v>
      </c>
      <c r="B2103">
        <v>7.34</v>
      </c>
      <c r="C2103">
        <v>5.6829999999999998</v>
      </c>
      <c r="D2103">
        <v>2.25</v>
      </c>
      <c r="E2103">
        <v>22.45</v>
      </c>
      <c r="F2103">
        <v>13</v>
      </c>
      <c r="G2103">
        <v>0</v>
      </c>
      <c r="H2103">
        <v>1</v>
      </c>
      <c r="I2103">
        <v>1</v>
      </c>
    </row>
    <row r="2104" spans="1:9" x14ac:dyDescent="0.25">
      <c r="A2104" s="18">
        <v>43743</v>
      </c>
      <c r="B2104">
        <v>3.84</v>
      </c>
      <c r="C2104">
        <v>5.01</v>
      </c>
      <c r="D2104">
        <v>6</v>
      </c>
      <c r="E2104">
        <v>25.4</v>
      </c>
      <c r="F2104">
        <v>7</v>
      </c>
      <c r="G2104">
        <v>0</v>
      </c>
      <c r="H2104">
        <v>0</v>
      </c>
      <c r="I2104">
        <v>0.33</v>
      </c>
    </row>
    <row r="2105" spans="1:9" x14ac:dyDescent="0.25">
      <c r="A2105" s="18">
        <v>43744</v>
      </c>
      <c r="B2105">
        <v>4</v>
      </c>
      <c r="C2105">
        <v>11.69</v>
      </c>
      <c r="D2105">
        <v>2</v>
      </c>
      <c r="E2105">
        <v>34.6</v>
      </c>
      <c r="F2105">
        <v>6</v>
      </c>
      <c r="G2105">
        <v>0</v>
      </c>
      <c r="H2105">
        <v>5</v>
      </c>
      <c r="I2105">
        <v>4.2</v>
      </c>
    </row>
    <row r="2106" spans="1:9" x14ac:dyDescent="0.25">
      <c r="A2106" s="18">
        <v>43745</v>
      </c>
      <c r="B2106">
        <v>7.34</v>
      </c>
      <c r="C2106">
        <v>4.5069999999999997</v>
      </c>
      <c r="D2106">
        <v>3</v>
      </c>
      <c r="E2106">
        <v>50.8</v>
      </c>
      <c r="F2106">
        <v>6</v>
      </c>
      <c r="G2106">
        <v>0</v>
      </c>
      <c r="H2106">
        <v>10</v>
      </c>
      <c r="I2106">
        <v>1</v>
      </c>
    </row>
    <row r="2107" spans="1:9" x14ac:dyDescent="0.25">
      <c r="A2107" s="18">
        <v>43746</v>
      </c>
      <c r="B2107">
        <v>0.33</v>
      </c>
      <c r="C2107">
        <v>1.73</v>
      </c>
      <c r="D2107">
        <v>0.5</v>
      </c>
      <c r="E2107">
        <v>44.3</v>
      </c>
      <c r="F2107">
        <v>20</v>
      </c>
      <c r="G2107">
        <v>2</v>
      </c>
      <c r="H2107">
        <v>2</v>
      </c>
      <c r="I2107">
        <v>0</v>
      </c>
    </row>
  </sheetData>
  <pageMargins left="0.7" right="0.7" top="0.75" bottom="0.75" header="0.3" footer="0.3"/>
  <headerFooter>
    <oddFooter>&amp;L_x000D_&amp;1#&amp;"Aptos"&amp;10&amp;K008000 Interne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Synthese</vt:lpstr>
      <vt:lpstr>Outil</vt:lpstr>
      <vt:lpstr>Stats</vt:lpstr>
      <vt:lpstr>Prevision</vt:lpstr>
      <vt:lpstr>Etat_donnees</vt:lpstr>
      <vt:lpstr>Dictionnaire</vt:lpstr>
      <vt:lpstr>Mensuel</vt:lpstr>
      <vt:lpstr>Backtest</vt:lpstr>
      <vt:lpstr>Donnees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 GALLOUDEC GWENAËL (SNCF VOYAGEURS)</cp:lastModifiedBy>
  <dcterms:created xsi:type="dcterms:W3CDTF">2026-10-08T09:01:41Z</dcterms:created>
  <dcterms:modified xsi:type="dcterms:W3CDTF">2026-10-08T09:10:19Z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d3f7c8-5c4b-4ab6-9486-a0a9eb08efa7_Enabled">
    <vt:lpwstr>true</vt:lpwstr>
  </property>
  <property fmtid="{D5CDD505-2E9C-101B-9397-08002B2CF9AE}" pid="3" name="MSIP_Label_c8d3f7c8-5c4b-4ab6-9486-a0a9eb08efa7_SetDate">
    <vt:lpwstr>2026-10-08T09:08:11Z</vt:lpwstr>
  </property>
  <property fmtid="{D5CDD505-2E9C-101B-9397-08002B2CF9AE}" pid="4" name="MSIP_Label_c8d3f7c8-5c4b-4ab6-9486-a0a9eb08efa7_Method">
    <vt:lpwstr>Standard</vt:lpwstr>
  </property>
  <property fmtid="{D5CDD505-2E9C-101B-9397-08002B2CF9AE}" pid="5" name="MSIP_Label_c8d3f7c8-5c4b-4ab6-9486-a0a9eb08efa7_Name">
    <vt:lpwstr>Interne - Groupe</vt:lpwstr>
  </property>
  <property fmtid="{D5CDD505-2E9C-101B-9397-08002B2CF9AE}" pid="6" name="MSIP_Label_c8d3f7c8-5c4b-4ab6-9486-a0a9eb08efa7_SiteId">
    <vt:lpwstr>4a7c8238-5799-4b16-9fc6-9ad8fce5a7d9</vt:lpwstr>
  </property>
  <property fmtid="{D5CDD505-2E9C-101B-9397-08002B2CF9AE}" pid="7" name="MSIP_Label_c8d3f7c8-5c4b-4ab6-9486-a0a9eb08efa7_ActionId">
    <vt:lpwstr>3af28d80-a3dc-4f5d-b089-5a791586478f</vt:lpwstr>
  </property>
  <property fmtid="{D5CDD505-2E9C-101B-9397-08002B2CF9AE}" pid="8" name="MSIP_Label_c8d3f7c8-5c4b-4ab6-9486-a0a9eb08efa7_ContentBits">
    <vt:lpwstr>2</vt:lpwstr>
  </property>
  <property fmtid="{D5CDD505-2E9C-101B-9397-08002B2CF9AE}" pid="9" name="MSIP_Label_c8d3f7c8-5c4b-4ab6-9486-a0a9eb08efa7_Tag">
    <vt:lpwstr>10, 3, 0, 1</vt:lpwstr>
  </property>
</Properties>
</file>